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ocuments\bank_indonesia\pantau\"/>
    </mc:Choice>
  </mc:AlternateContent>
  <xr:revisionPtr revIDLastSave="0" documentId="13_ncr:1_{14BCEF94-2FBA-445E-A38F-C0ED72E8E082}" xr6:coauthVersionLast="47" xr6:coauthVersionMax="47" xr10:uidLastSave="{00000000-0000-0000-0000-000000000000}"/>
  <bookViews>
    <workbookView xWindow="-108" yWindow="-108" windowWidth="23256" windowHeight="12456" firstSheet="1" activeTab="1" xr2:uid="{58FC75DE-DAAA-4A9F-AEE3-248A63846791}"/>
  </bookViews>
  <sheets>
    <sheet name="Sheet2" sheetId="5" state="hidden" r:id="rId1"/>
    <sheet name="CHECKLIST" sheetId="3" r:id="rId2"/>
  </sheets>
  <definedNames>
    <definedName name="_xlnm._FilterDatabase" localSheetId="1" hidden="1">CHECKLIST!$A$1:$Z$117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0" i="5" l="1"/>
  <c r="I150" i="5"/>
  <c r="H150" i="5"/>
  <c r="G150" i="5"/>
  <c r="K149" i="5"/>
  <c r="I149" i="5"/>
  <c r="H149" i="5"/>
  <c r="G149" i="5"/>
  <c r="K148" i="5"/>
  <c r="I148" i="5"/>
  <c r="H148" i="5"/>
  <c r="G148" i="5"/>
  <c r="K147" i="5"/>
  <c r="I147" i="5"/>
  <c r="H147" i="5"/>
  <c r="G147" i="5"/>
  <c r="K146" i="5"/>
  <c r="I146" i="5"/>
  <c r="H146" i="5"/>
  <c r="G146" i="5"/>
  <c r="K145" i="5"/>
  <c r="I145" i="5"/>
  <c r="H145" i="5"/>
  <c r="G145" i="5"/>
  <c r="K144" i="5"/>
  <c r="I144" i="5"/>
  <c r="H144" i="5"/>
  <c r="G144" i="5"/>
  <c r="K143" i="5"/>
  <c r="I143" i="5"/>
  <c r="H143" i="5"/>
  <c r="G143" i="5"/>
  <c r="K142" i="5"/>
  <c r="I142" i="5"/>
  <c r="H142" i="5"/>
  <c r="G142" i="5"/>
  <c r="K141" i="5"/>
  <c r="I141" i="5"/>
  <c r="H141" i="5"/>
  <c r="G141" i="5"/>
  <c r="K140" i="5"/>
  <c r="I140" i="5"/>
  <c r="H140" i="5"/>
  <c r="G140" i="5"/>
  <c r="K139" i="5"/>
  <c r="I139" i="5"/>
  <c r="H139" i="5"/>
  <c r="G139" i="5"/>
  <c r="K138" i="5"/>
  <c r="I138" i="5"/>
  <c r="H138" i="5"/>
  <c r="G138" i="5"/>
  <c r="K137" i="5"/>
  <c r="I137" i="5"/>
  <c r="H137" i="5"/>
  <c r="G137" i="5"/>
  <c r="K136" i="5"/>
  <c r="I136" i="5"/>
  <c r="H136" i="5"/>
  <c r="G136" i="5"/>
  <c r="K135" i="5"/>
  <c r="I135" i="5"/>
  <c r="H135" i="5"/>
  <c r="G135" i="5"/>
  <c r="K134" i="5"/>
  <c r="I134" i="5"/>
  <c r="H134" i="5"/>
  <c r="G134" i="5"/>
  <c r="K133" i="5"/>
  <c r="I133" i="5"/>
  <c r="H133" i="5"/>
  <c r="G133" i="5"/>
  <c r="K132" i="5"/>
  <c r="I132" i="5"/>
  <c r="H132" i="5"/>
  <c r="G132" i="5"/>
  <c r="K131" i="5"/>
  <c r="I131" i="5"/>
  <c r="H131" i="5"/>
  <c r="G131" i="5"/>
  <c r="K130" i="5"/>
  <c r="I130" i="5"/>
  <c r="H130" i="5"/>
  <c r="G130" i="5"/>
  <c r="K129" i="5"/>
  <c r="I129" i="5"/>
  <c r="H129" i="5"/>
  <c r="G129" i="5"/>
  <c r="K128" i="5"/>
  <c r="I128" i="5"/>
  <c r="H128" i="5"/>
  <c r="G128" i="5"/>
  <c r="K127" i="5"/>
  <c r="I127" i="5"/>
  <c r="H127" i="5"/>
  <c r="G127" i="5"/>
  <c r="K126" i="5"/>
  <c r="I126" i="5"/>
  <c r="H126" i="5"/>
  <c r="G126" i="5"/>
  <c r="K125" i="5"/>
  <c r="I125" i="5"/>
  <c r="H125" i="5"/>
  <c r="G125" i="5"/>
  <c r="K124" i="5"/>
  <c r="I124" i="5"/>
  <c r="H124" i="5"/>
  <c r="G124" i="5"/>
  <c r="K123" i="5"/>
  <c r="I123" i="5"/>
  <c r="H123" i="5"/>
  <c r="G123" i="5"/>
  <c r="K122" i="5"/>
  <c r="I122" i="5"/>
  <c r="H122" i="5"/>
  <c r="G122" i="5"/>
  <c r="K121" i="5"/>
  <c r="I121" i="5"/>
  <c r="H121" i="5"/>
  <c r="G121" i="5"/>
  <c r="K120" i="5"/>
  <c r="I120" i="5"/>
  <c r="H120" i="5"/>
  <c r="G120" i="5"/>
  <c r="K119" i="5"/>
  <c r="I119" i="5"/>
  <c r="H119" i="5"/>
  <c r="G119" i="5"/>
  <c r="K118" i="5"/>
  <c r="I118" i="5"/>
  <c r="H118" i="5"/>
  <c r="G118" i="5"/>
  <c r="K117" i="5"/>
  <c r="I117" i="5"/>
  <c r="H117" i="5"/>
  <c r="G117" i="5"/>
  <c r="K116" i="5"/>
  <c r="I116" i="5"/>
  <c r="H116" i="5"/>
  <c r="G116" i="5"/>
  <c r="K115" i="5"/>
  <c r="I115" i="5"/>
  <c r="H115" i="5"/>
  <c r="G115" i="5"/>
  <c r="K114" i="5"/>
  <c r="I114" i="5"/>
  <c r="H114" i="5"/>
  <c r="G114" i="5"/>
  <c r="K113" i="5"/>
  <c r="I113" i="5"/>
  <c r="H113" i="5"/>
  <c r="G113" i="5"/>
  <c r="K112" i="5"/>
  <c r="I112" i="5"/>
  <c r="H112" i="5"/>
  <c r="G112" i="5"/>
  <c r="K111" i="5"/>
  <c r="I111" i="5"/>
  <c r="H111" i="5"/>
  <c r="G111" i="5"/>
  <c r="K110" i="5"/>
  <c r="I110" i="5"/>
  <c r="H110" i="5"/>
  <c r="G110" i="5"/>
  <c r="K109" i="5"/>
  <c r="I109" i="5"/>
  <c r="H109" i="5"/>
  <c r="G109" i="5"/>
  <c r="K108" i="5"/>
  <c r="I108" i="5"/>
  <c r="H108" i="5"/>
  <c r="G108" i="5"/>
  <c r="K107" i="5"/>
  <c r="I107" i="5"/>
  <c r="H107" i="5"/>
  <c r="G107" i="5"/>
  <c r="K106" i="5"/>
  <c r="I106" i="5"/>
  <c r="H106" i="5"/>
  <c r="G106" i="5"/>
  <c r="K105" i="5"/>
  <c r="I105" i="5"/>
  <c r="H105" i="5"/>
  <c r="G105" i="5"/>
  <c r="K104" i="5"/>
  <c r="I104" i="5"/>
  <c r="H104" i="5"/>
  <c r="G104" i="5"/>
  <c r="K103" i="5"/>
  <c r="I103" i="5"/>
  <c r="H103" i="5"/>
  <c r="G103" i="5"/>
  <c r="K102" i="5"/>
  <c r="I102" i="5"/>
  <c r="H102" i="5"/>
  <c r="G102" i="5"/>
  <c r="K101" i="5"/>
  <c r="I101" i="5"/>
  <c r="H101" i="5"/>
  <c r="G101" i="5"/>
  <c r="K100" i="5"/>
  <c r="I100" i="5"/>
  <c r="H100" i="5"/>
  <c r="G100" i="5"/>
  <c r="K99" i="5"/>
  <c r="I99" i="5"/>
  <c r="H99" i="5"/>
  <c r="G99" i="5"/>
  <c r="K98" i="5"/>
  <c r="I98" i="5"/>
  <c r="H98" i="5"/>
  <c r="G98" i="5"/>
  <c r="K97" i="5"/>
  <c r="I97" i="5"/>
  <c r="H97" i="5"/>
  <c r="G97" i="5"/>
  <c r="K96" i="5"/>
  <c r="I96" i="5"/>
  <c r="H96" i="5"/>
  <c r="G96" i="5"/>
  <c r="K95" i="5"/>
  <c r="I95" i="5"/>
  <c r="H95" i="5"/>
  <c r="G95" i="5"/>
  <c r="K94" i="5"/>
  <c r="I94" i="5"/>
  <c r="H94" i="5"/>
  <c r="G94" i="5"/>
  <c r="K93" i="5"/>
  <c r="I93" i="5"/>
  <c r="H93" i="5"/>
  <c r="G93" i="5"/>
  <c r="K92" i="5"/>
  <c r="I92" i="5"/>
  <c r="H92" i="5"/>
  <c r="G92" i="5"/>
  <c r="K91" i="5"/>
  <c r="I91" i="5"/>
  <c r="H91" i="5"/>
  <c r="G91" i="5"/>
  <c r="K90" i="5"/>
  <c r="I90" i="5"/>
  <c r="H90" i="5"/>
  <c r="G90" i="5"/>
  <c r="K89" i="5"/>
  <c r="I89" i="5"/>
  <c r="H89" i="5"/>
  <c r="G89" i="5"/>
  <c r="K88" i="5"/>
  <c r="I88" i="5"/>
  <c r="H88" i="5"/>
  <c r="G88" i="5"/>
  <c r="K87" i="5"/>
  <c r="I87" i="5"/>
  <c r="H87" i="5"/>
  <c r="G87" i="5"/>
  <c r="K86" i="5"/>
  <c r="I86" i="5"/>
  <c r="H86" i="5"/>
  <c r="G86" i="5"/>
  <c r="K85" i="5"/>
  <c r="I85" i="5"/>
  <c r="H85" i="5"/>
  <c r="G85" i="5"/>
  <c r="K84" i="5"/>
  <c r="I84" i="5"/>
  <c r="H84" i="5"/>
  <c r="G84" i="5"/>
  <c r="K83" i="5"/>
  <c r="I83" i="5"/>
  <c r="H83" i="5"/>
  <c r="G83" i="5"/>
  <c r="K82" i="5"/>
  <c r="I82" i="5"/>
  <c r="H82" i="5"/>
  <c r="G82" i="5"/>
  <c r="K81" i="5"/>
  <c r="I81" i="5"/>
  <c r="H81" i="5"/>
  <c r="G81" i="5"/>
  <c r="K80" i="5"/>
  <c r="I80" i="5"/>
  <c r="H80" i="5"/>
  <c r="G80" i="5"/>
  <c r="K79" i="5"/>
  <c r="I79" i="5"/>
  <c r="H79" i="5"/>
  <c r="G79" i="5"/>
  <c r="K78" i="5"/>
  <c r="I78" i="5"/>
  <c r="H78" i="5"/>
  <c r="G78" i="5"/>
  <c r="K77" i="5"/>
  <c r="I77" i="5"/>
  <c r="H77" i="5"/>
  <c r="G77" i="5"/>
  <c r="K76" i="5"/>
  <c r="I76" i="5"/>
  <c r="H76" i="5"/>
  <c r="G76" i="5"/>
  <c r="K75" i="5"/>
  <c r="I75" i="5"/>
  <c r="H75" i="5"/>
  <c r="G75" i="5"/>
  <c r="K74" i="5"/>
  <c r="I74" i="5"/>
  <c r="H74" i="5"/>
  <c r="G74" i="5"/>
  <c r="K73" i="5"/>
  <c r="I73" i="5"/>
  <c r="H73" i="5"/>
  <c r="G73" i="5"/>
  <c r="K72" i="5"/>
  <c r="I72" i="5"/>
  <c r="H72" i="5"/>
  <c r="G72" i="5"/>
  <c r="K71" i="5"/>
  <c r="I71" i="5"/>
  <c r="H71" i="5"/>
  <c r="G71" i="5"/>
  <c r="K70" i="5"/>
  <c r="I70" i="5"/>
  <c r="H70" i="5"/>
  <c r="G70" i="5"/>
  <c r="K69" i="5"/>
  <c r="I69" i="5"/>
  <c r="H69" i="5"/>
  <c r="G69" i="5"/>
  <c r="K68" i="5"/>
  <c r="I68" i="5"/>
  <c r="H68" i="5"/>
  <c r="G68" i="5"/>
  <c r="K67" i="5"/>
  <c r="I67" i="5"/>
  <c r="H67" i="5"/>
  <c r="G67" i="5"/>
  <c r="K66" i="5"/>
  <c r="I66" i="5"/>
  <c r="H66" i="5"/>
  <c r="G66" i="5"/>
  <c r="K65" i="5"/>
  <c r="I65" i="5"/>
  <c r="H65" i="5"/>
  <c r="G65" i="5"/>
  <c r="K64" i="5"/>
  <c r="I64" i="5"/>
  <c r="H64" i="5"/>
  <c r="G64" i="5"/>
  <c r="K63" i="5"/>
  <c r="I63" i="5"/>
  <c r="H63" i="5"/>
  <c r="G63" i="5"/>
  <c r="K62" i="5"/>
  <c r="I62" i="5"/>
  <c r="H62" i="5"/>
  <c r="G62" i="5"/>
  <c r="K61" i="5"/>
  <c r="I61" i="5"/>
  <c r="H61" i="5"/>
  <c r="G61" i="5"/>
  <c r="K60" i="5"/>
  <c r="I60" i="5"/>
  <c r="H60" i="5"/>
  <c r="G60" i="5"/>
  <c r="K59" i="5"/>
  <c r="I59" i="5"/>
  <c r="H59" i="5"/>
  <c r="G59" i="5"/>
  <c r="K58" i="5"/>
  <c r="I58" i="5"/>
  <c r="H58" i="5"/>
  <c r="G58" i="5"/>
  <c r="K57" i="5"/>
  <c r="I57" i="5"/>
  <c r="H57" i="5"/>
  <c r="G57" i="5"/>
  <c r="K56" i="5"/>
  <c r="I56" i="5"/>
  <c r="H56" i="5"/>
  <c r="G56" i="5"/>
  <c r="K55" i="5"/>
  <c r="I55" i="5"/>
  <c r="H55" i="5"/>
  <c r="G55" i="5"/>
  <c r="K54" i="5"/>
  <c r="I54" i="5"/>
  <c r="H54" i="5"/>
  <c r="G54" i="5"/>
  <c r="K53" i="5"/>
  <c r="I53" i="5"/>
  <c r="H53" i="5"/>
  <c r="G53" i="5"/>
  <c r="K52" i="5"/>
  <c r="I52" i="5"/>
  <c r="H52" i="5"/>
  <c r="G52" i="5"/>
  <c r="K51" i="5"/>
  <c r="I51" i="5"/>
  <c r="H51" i="5"/>
  <c r="G51" i="5"/>
  <c r="K50" i="5"/>
  <c r="I50" i="5"/>
  <c r="H50" i="5"/>
  <c r="G50" i="5"/>
  <c r="K49" i="5"/>
  <c r="I49" i="5"/>
  <c r="H49" i="5"/>
  <c r="G49" i="5"/>
  <c r="K48" i="5"/>
  <c r="I48" i="5"/>
  <c r="H48" i="5"/>
  <c r="G48" i="5"/>
  <c r="K47" i="5"/>
  <c r="I47" i="5"/>
  <c r="H47" i="5"/>
  <c r="G47" i="5"/>
  <c r="K46" i="5"/>
  <c r="I46" i="5"/>
  <c r="H46" i="5"/>
  <c r="G46" i="5"/>
  <c r="K45" i="5"/>
  <c r="I45" i="5"/>
  <c r="H45" i="5"/>
  <c r="G45" i="5"/>
  <c r="K32" i="5"/>
  <c r="I32" i="5"/>
  <c r="H32" i="5"/>
  <c r="G32" i="5"/>
  <c r="K31" i="5"/>
  <c r="I31" i="5"/>
  <c r="H31" i="5"/>
  <c r="G31" i="5"/>
  <c r="K30" i="5"/>
  <c r="I30" i="5"/>
  <c r="H30" i="5"/>
  <c r="G30" i="5"/>
  <c r="K29" i="5"/>
  <c r="I29" i="5"/>
  <c r="H29" i="5"/>
  <c r="G29" i="5"/>
  <c r="K28" i="5"/>
  <c r="I28" i="5"/>
  <c r="H28" i="5"/>
  <c r="G28" i="5"/>
  <c r="K27" i="5"/>
  <c r="I27" i="5"/>
  <c r="H27" i="5"/>
  <c r="G27" i="5"/>
  <c r="K26" i="5"/>
  <c r="I26" i="5"/>
  <c r="H26" i="5"/>
  <c r="G26" i="5"/>
  <c r="Z4" i="3" a="1"/>
  <c r="G4" i="3" a="1"/>
  <c r="I3" i="3"/>
  <c r="I128" i="3" s="1"/>
  <c r="O1" i="3"/>
  <c r="J3" i="3" l="1"/>
  <c r="J124" i="3" s="1"/>
  <c r="J128" i="3"/>
  <c r="J129" i="3"/>
  <c r="I63" i="3"/>
  <c r="I7" i="3"/>
  <c r="I9" i="3"/>
  <c r="I13" i="3"/>
  <c r="I55" i="3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77" i="5"/>
  <c r="J73" i="5"/>
  <c r="J71" i="5"/>
  <c r="J67" i="5"/>
  <c r="J66" i="5"/>
  <c r="J65" i="5"/>
  <c r="J59" i="5"/>
  <c r="J56" i="5"/>
  <c r="J55" i="5"/>
  <c r="J54" i="5"/>
  <c r="J53" i="5"/>
  <c r="J52" i="5"/>
  <c r="J32" i="5"/>
  <c r="J135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79" i="5"/>
  <c r="J78" i="5"/>
  <c r="J75" i="5"/>
  <c r="J74" i="5"/>
  <c r="J63" i="5"/>
  <c r="J61" i="5"/>
  <c r="J50" i="5"/>
  <c r="J46" i="5"/>
  <c r="J27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6" i="5"/>
  <c r="J72" i="5"/>
  <c r="J69" i="5"/>
  <c r="J68" i="5"/>
  <c r="J64" i="5"/>
  <c r="J60" i="5"/>
  <c r="J58" i="5"/>
  <c r="J49" i="5"/>
  <c r="J48" i="5"/>
  <c r="J30" i="5"/>
  <c r="J26" i="5"/>
  <c r="J70" i="5"/>
  <c r="J62" i="5"/>
  <c r="J57" i="5"/>
  <c r="J51" i="5"/>
  <c r="J47" i="5"/>
  <c r="J45" i="5"/>
  <c r="J31" i="5"/>
  <c r="J29" i="5"/>
  <c r="J28" i="5"/>
  <c r="I46" i="3"/>
  <c r="I6" i="3"/>
  <c r="I8" i="3"/>
  <c r="I15" i="3"/>
  <c r="I43" i="3"/>
  <c r="J8" i="3"/>
  <c r="J14" i="3"/>
  <c r="J116" i="3"/>
  <c r="J15" i="3"/>
  <c r="J119" i="3"/>
  <c r="I40" i="3"/>
  <c r="I41" i="3"/>
  <c r="J6" i="3"/>
  <c r="J7" i="3"/>
  <c r="I50" i="3"/>
  <c r="I53" i="3"/>
  <c r="J89" i="3"/>
  <c r="J12" i="3"/>
  <c r="I14" i="3"/>
  <c r="I96" i="3"/>
  <c r="I100" i="3"/>
  <c r="J13" i="3"/>
  <c r="I97" i="3"/>
  <c r="J113" i="3"/>
  <c r="I10" i="3"/>
  <c r="I16" i="3"/>
  <c r="I57" i="3"/>
  <c r="I122" i="3"/>
  <c r="I126" i="3"/>
  <c r="I11" i="3"/>
  <c r="I17" i="3"/>
  <c r="I64" i="3"/>
  <c r="I5" i="3"/>
  <c r="J11" i="3"/>
  <c r="J17" i="3"/>
  <c r="I66" i="3"/>
  <c r="I127" i="3"/>
  <c r="J10" i="3"/>
  <c r="J16" i="3"/>
  <c r="I61" i="3"/>
  <c r="I123" i="3"/>
  <c r="J5" i="3"/>
  <c r="I12" i="3"/>
  <c r="I19" i="3"/>
  <c r="J86" i="3"/>
  <c r="AE18" i="3"/>
  <c r="AE19" i="3"/>
  <c r="I48" i="3"/>
  <c r="I59" i="3"/>
  <c r="J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9" i="3"/>
  <c r="I45" i="3"/>
  <c r="I62" i="3"/>
  <c r="J111" i="3"/>
  <c r="J114" i="3"/>
  <c r="J117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9" i="3"/>
  <c r="I52" i="3"/>
  <c r="I67" i="3"/>
  <c r="I47" i="3"/>
  <c r="I60" i="3"/>
  <c r="J87" i="3"/>
  <c r="I42" i="3"/>
  <c r="I54" i="3"/>
  <c r="I65" i="3"/>
  <c r="J88" i="3"/>
  <c r="I92" i="3"/>
  <c r="I95" i="3"/>
  <c r="I98" i="3"/>
  <c r="I101" i="3"/>
  <c r="I125" i="3"/>
  <c r="I49" i="3"/>
  <c r="I58" i="3"/>
  <c r="J112" i="3"/>
  <c r="J115" i="3"/>
  <c r="J82" i="3"/>
  <c r="J81" i="3"/>
  <c r="J80" i="3"/>
  <c r="J79" i="3"/>
  <c r="J77" i="3"/>
  <c r="J76" i="3"/>
  <c r="J74" i="3"/>
  <c r="J73" i="3"/>
  <c r="J72" i="3"/>
  <c r="J71" i="3"/>
  <c r="J70" i="3"/>
  <c r="J68" i="3"/>
  <c r="J67" i="3"/>
  <c r="J66" i="3"/>
  <c r="J65" i="3"/>
  <c r="J64" i="3"/>
  <c r="J63" i="3"/>
  <c r="J62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0" i="3"/>
  <c r="J120" i="3"/>
  <c r="J107" i="3"/>
  <c r="J106" i="3"/>
  <c r="J105" i="3"/>
  <c r="J104" i="3"/>
  <c r="J127" i="3"/>
  <c r="J126" i="3"/>
  <c r="J125" i="3"/>
  <c r="J123" i="3"/>
  <c r="J122" i="3"/>
  <c r="J121" i="3"/>
  <c r="J100" i="3"/>
  <c r="J98" i="3"/>
  <c r="J97" i="3"/>
  <c r="J96" i="3"/>
  <c r="J95" i="3"/>
  <c r="J94" i="3"/>
  <c r="J93" i="3"/>
  <c r="I44" i="3"/>
  <c r="I56" i="3"/>
  <c r="I90" i="3"/>
  <c r="I89" i="3"/>
  <c r="I88" i="3"/>
  <c r="I85" i="3"/>
  <c r="I83" i="3"/>
  <c r="I82" i="3"/>
  <c r="I81" i="3"/>
  <c r="I80" i="3"/>
  <c r="I79" i="3"/>
  <c r="I78" i="3"/>
  <c r="I77" i="3"/>
  <c r="I76" i="3"/>
  <c r="I74" i="3"/>
  <c r="I73" i="3"/>
  <c r="I72" i="3"/>
  <c r="I71" i="3"/>
  <c r="I70" i="3"/>
  <c r="I119" i="3"/>
  <c r="I118" i="3"/>
  <c r="I117" i="3"/>
  <c r="I116" i="3"/>
  <c r="I115" i="3"/>
  <c r="I114" i="3"/>
  <c r="I113" i="3"/>
  <c r="I110" i="3"/>
  <c r="I108" i="3"/>
  <c r="I107" i="3"/>
  <c r="I106" i="3"/>
  <c r="I103" i="3"/>
  <c r="I129" i="3"/>
  <c r="K3" i="3"/>
  <c r="I51" i="3"/>
  <c r="I68" i="3"/>
  <c r="K128" i="3" l="1"/>
  <c r="K124" i="3"/>
  <c r="J118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119" i="3"/>
  <c r="K118" i="3"/>
  <c r="K117" i="3"/>
  <c r="K116" i="3"/>
  <c r="K115" i="3"/>
  <c r="K114" i="3"/>
  <c r="K113" i="3"/>
  <c r="K112" i="3"/>
  <c r="K111" i="3"/>
  <c r="K129" i="3"/>
  <c r="K127" i="3"/>
  <c r="K126" i="3"/>
  <c r="K125" i="3"/>
  <c r="K123" i="3"/>
  <c r="K122" i="3"/>
  <c r="K121" i="3"/>
  <c r="K101" i="3"/>
  <c r="K100" i="3"/>
  <c r="K98" i="3"/>
  <c r="K96" i="3"/>
  <c r="K95" i="3"/>
  <c r="K94" i="3"/>
  <c r="K93" i="3"/>
  <c r="K90" i="3"/>
  <c r="K89" i="3"/>
  <c r="K88" i="3"/>
  <c r="K87" i="3"/>
  <c r="K86" i="3"/>
  <c r="K76" i="3"/>
  <c r="K71" i="3"/>
  <c r="K108" i="3"/>
  <c r="K105" i="3"/>
  <c r="K81" i="3"/>
  <c r="K73" i="3"/>
  <c r="K83" i="3"/>
  <c r="K80" i="3"/>
  <c r="K77" i="3"/>
  <c r="K39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20" i="3"/>
  <c r="K107" i="3"/>
  <c r="K104" i="3"/>
  <c r="K70" i="3"/>
  <c r="K17" i="3"/>
  <c r="K16" i="3"/>
  <c r="K15" i="3"/>
  <c r="K14" i="3"/>
  <c r="K13" i="3"/>
  <c r="K12" i="3"/>
  <c r="K11" i="3"/>
  <c r="K10" i="3"/>
  <c r="K8" i="3"/>
  <c r="K7" i="3"/>
  <c r="K6" i="3"/>
  <c r="K5" i="3"/>
  <c r="K79" i="3"/>
  <c r="K72" i="3"/>
  <c r="L3" i="3"/>
  <c r="K74" i="3"/>
  <c r="K106" i="3"/>
  <c r="K82" i="3"/>
  <c r="K40" i="3"/>
  <c r="L128" i="3" l="1"/>
  <c r="L124" i="3"/>
  <c r="L119" i="3"/>
  <c r="L118" i="3"/>
  <c r="L117" i="3"/>
  <c r="L116" i="3"/>
  <c r="L115" i="3"/>
  <c r="L114" i="3"/>
  <c r="L113" i="3"/>
  <c r="L112" i="3"/>
  <c r="L111" i="3"/>
  <c r="L120" i="3"/>
  <c r="L108" i="3"/>
  <c r="L107" i="3"/>
  <c r="L106" i="3"/>
  <c r="L105" i="3"/>
  <c r="L104" i="3"/>
  <c r="L129" i="3"/>
  <c r="L90" i="3"/>
  <c r="L89" i="3"/>
  <c r="L88" i="3"/>
  <c r="L87" i="3"/>
  <c r="L86" i="3"/>
  <c r="L83" i="3"/>
  <c r="L82" i="3"/>
  <c r="L81" i="3"/>
  <c r="L80" i="3"/>
  <c r="L79" i="3"/>
  <c r="L77" i="3"/>
  <c r="L76" i="3"/>
  <c r="L74" i="3"/>
  <c r="L71" i="3"/>
  <c r="L70" i="3"/>
  <c r="L63" i="3"/>
  <c r="L56" i="3"/>
  <c r="L44" i="3"/>
  <c r="L58" i="3"/>
  <c r="L49" i="3"/>
  <c r="L125" i="3"/>
  <c r="L121" i="3"/>
  <c r="L101" i="3"/>
  <c r="L98" i="3"/>
  <c r="L95" i="3"/>
  <c r="L65" i="3"/>
  <c r="L54" i="3"/>
  <c r="L42" i="3"/>
  <c r="L60" i="3"/>
  <c r="L47" i="3"/>
  <c r="L39" i="3"/>
  <c r="L37" i="3"/>
  <c r="L36" i="3"/>
  <c r="L35" i="3"/>
  <c r="L34" i="3"/>
  <c r="L33" i="3"/>
  <c r="L32" i="3"/>
  <c r="L31" i="3"/>
  <c r="L30" i="3"/>
  <c r="L29" i="3"/>
  <c r="L28" i="3"/>
  <c r="L27" i="3"/>
  <c r="L25" i="3"/>
  <c r="L24" i="3"/>
  <c r="L23" i="3"/>
  <c r="L22" i="3"/>
  <c r="L21" i="3"/>
  <c r="L20" i="3"/>
  <c r="L67" i="3"/>
  <c r="L52" i="3"/>
  <c r="L19" i="3"/>
  <c r="L62" i="3"/>
  <c r="L45" i="3"/>
  <c r="L17" i="3"/>
  <c r="L16" i="3"/>
  <c r="L15" i="3"/>
  <c r="L14" i="3"/>
  <c r="L13" i="3"/>
  <c r="L12" i="3"/>
  <c r="L11" i="3"/>
  <c r="L10" i="3"/>
  <c r="L8" i="3"/>
  <c r="L7" i="3"/>
  <c r="L6" i="3"/>
  <c r="L127" i="3"/>
  <c r="L123" i="3"/>
  <c r="L97" i="3"/>
  <c r="L94" i="3"/>
  <c r="L57" i="3"/>
  <c r="L40" i="3"/>
  <c r="L66" i="3"/>
  <c r="L53" i="3"/>
  <c r="L51" i="3"/>
  <c r="L68" i="3"/>
  <c r="L43" i="3"/>
  <c r="L126" i="3"/>
  <c r="L59" i="3"/>
  <c r="L99" i="3"/>
  <c r="M3" i="3"/>
  <c r="L96" i="3"/>
  <c r="L64" i="3"/>
  <c r="L122" i="3"/>
  <c r="L93" i="3"/>
  <c r="L46" i="3"/>
  <c r="L55" i="3"/>
  <c r="L4" i="3"/>
  <c r="L61" i="3"/>
  <c r="M128" i="3" l="1"/>
  <c r="M124" i="3"/>
  <c r="M119" i="3"/>
  <c r="M118" i="3"/>
  <c r="M117" i="3"/>
  <c r="M116" i="3"/>
  <c r="M115" i="3"/>
  <c r="M114" i="3"/>
  <c r="M113" i="3"/>
  <c r="M112" i="3"/>
  <c r="M111" i="3"/>
  <c r="M120" i="3"/>
  <c r="M108" i="3"/>
  <c r="M107" i="3"/>
  <c r="M106" i="3"/>
  <c r="M105" i="3"/>
  <c r="M104" i="3"/>
  <c r="M129" i="3"/>
  <c r="M127" i="3"/>
  <c r="M126" i="3"/>
  <c r="M125" i="3"/>
  <c r="M123" i="3"/>
  <c r="M122" i="3"/>
  <c r="M121" i="3"/>
  <c r="M101" i="3"/>
  <c r="M99" i="3"/>
  <c r="M97" i="3"/>
  <c r="M96" i="3"/>
  <c r="M95" i="3"/>
  <c r="M94" i="3"/>
  <c r="M93" i="3"/>
  <c r="M83" i="3"/>
  <c r="M82" i="3"/>
  <c r="M79" i="3"/>
  <c r="M78" i="3"/>
  <c r="M77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49" i="3"/>
  <c r="M47" i="3"/>
  <c r="M46" i="3"/>
  <c r="M45" i="3"/>
  <c r="M44" i="3"/>
  <c r="M43" i="3"/>
  <c r="M42" i="3"/>
  <c r="M40" i="3"/>
  <c r="M39" i="3"/>
  <c r="M71" i="3"/>
  <c r="M88" i="3"/>
  <c r="M37" i="3"/>
  <c r="M36" i="3"/>
  <c r="M35" i="3"/>
  <c r="M34" i="3"/>
  <c r="M33" i="3"/>
  <c r="M32" i="3"/>
  <c r="M31" i="3"/>
  <c r="M30" i="3"/>
  <c r="M28" i="3"/>
  <c r="M27" i="3"/>
  <c r="M25" i="3"/>
  <c r="M23" i="3"/>
  <c r="M22" i="3"/>
  <c r="M21" i="3"/>
  <c r="M20" i="3"/>
  <c r="M19" i="3"/>
  <c r="M17" i="3"/>
  <c r="M16" i="3"/>
  <c r="M15" i="3"/>
  <c r="M14" i="3"/>
  <c r="M13" i="3"/>
  <c r="M12" i="3"/>
  <c r="M11" i="3"/>
  <c r="M10" i="3"/>
  <c r="M8" i="3"/>
  <c r="M7" i="3"/>
  <c r="M6" i="3"/>
  <c r="M5" i="3"/>
  <c r="M70" i="3"/>
  <c r="M90" i="3"/>
  <c r="M87" i="3"/>
  <c r="M4" i="3"/>
  <c r="M74" i="3"/>
  <c r="N3" i="3"/>
  <c r="M89" i="3"/>
  <c r="M86" i="3"/>
  <c r="N128" i="3" l="1"/>
  <c r="N108" i="3"/>
  <c r="N105" i="3"/>
  <c r="N104" i="3"/>
  <c r="N103" i="3"/>
  <c r="N129" i="3"/>
  <c r="N127" i="3"/>
  <c r="N125" i="3"/>
  <c r="N122" i="3"/>
  <c r="N121" i="3"/>
  <c r="N101" i="3"/>
  <c r="N99" i="3"/>
  <c r="N98" i="3"/>
  <c r="N97" i="3"/>
  <c r="N94" i="3"/>
  <c r="N93" i="3"/>
  <c r="N92" i="3"/>
  <c r="N90" i="3"/>
  <c r="N87" i="3"/>
  <c r="N86" i="3"/>
  <c r="N85" i="3"/>
  <c r="N58" i="3"/>
  <c r="N49" i="3"/>
  <c r="N115" i="3"/>
  <c r="N112" i="3"/>
  <c r="N65" i="3"/>
  <c r="N54" i="3"/>
  <c r="N42" i="3"/>
  <c r="N37" i="3"/>
  <c r="N36" i="3"/>
  <c r="N35" i="3"/>
  <c r="N34" i="3"/>
  <c r="N33" i="3"/>
  <c r="N31" i="3"/>
  <c r="N30" i="3"/>
  <c r="N28" i="3"/>
  <c r="N27" i="3"/>
  <c r="N25" i="3"/>
  <c r="N23" i="3"/>
  <c r="N22" i="3"/>
  <c r="N20" i="3"/>
  <c r="N78" i="3"/>
  <c r="N60" i="3"/>
  <c r="N47" i="3"/>
  <c r="N19" i="3"/>
  <c r="N67" i="3"/>
  <c r="N17" i="3"/>
  <c r="N16" i="3"/>
  <c r="N15" i="3"/>
  <c r="N13" i="3"/>
  <c r="N12" i="3"/>
  <c r="N11" i="3"/>
  <c r="N10" i="3"/>
  <c r="N8" i="3"/>
  <c r="N7" i="3"/>
  <c r="N5" i="3"/>
  <c r="N70" i="3"/>
  <c r="N62" i="3"/>
  <c r="N117" i="3"/>
  <c r="N111" i="3"/>
  <c r="N57" i="3"/>
  <c r="N40" i="3"/>
  <c r="N4" i="3"/>
  <c r="N83" i="3"/>
  <c r="N77" i="3"/>
  <c r="N64" i="3"/>
  <c r="N119" i="3"/>
  <c r="N116" i="3"/>
  <c r="N110" i="3"/>
  <c r="N61" i="3"/>
  <c r="N46" i="3"/>
  <c r="N68" i="3"/>
  <c r="N44" i="3"/>
  <c r="O3" i="3"/>
  <c r="N56" i="3"/>
  <c r="N59" i="3"/>
  <c r="N76" i="3"/>
  <c r="N66" i="3"/>
  <c r="N53" i="3"/>
  <c r="N82" i="3"/>
  <c r="N79" i="3"/>
  <c r="N74" i="3"/>
  <c r="N63" i="3"/>
  <c r="N41" i="3"/>
  <c r="N51" i="3"/>
  <c r="N71" i="3"/>
  <c r="O128" i="3" l="1"/>
  <c r="O124" i="3"/>
  <c r="O119" i="3"/>
  <c r="O118" i="3"/>
  <c r="O117" i="3"/>
  <c r="O116" i="3"/>
  <c r="O115" i="3"/>
  <c r="O113" i="3"/>
  <c r="O112" i="3"/>
  <c r="O111" i="3"/>
  <c r="O110" i="3"/>
  <c r="O129" i="3"/>
  <c r="O127" i="3"/>
  <c r="O126" i="3"/>
  <c r="O125" i="3"/>
  <c r="O123" i="3"/>
  <c r="O122" i="3"/>
  <c r="O121" i="3"/>
  <c r="O101" i="3"/>
  <c r="O99" i="3"/>
  <c r="O98" i="3"/>
  <c r="O97" i="3"/>
  <c r="O95" i="3"/>
  <c r="O94" i="3"/>
  <c r="O93" i="3"/>
  <c r="O92" i="3"/>
  <c r="O90" i="3"/>
  <c r="O88" i="3"/>
  <c r="O87" i="3"/>
  <c r="O86" i="3"/>
  <c r="O85" i="3"/>
  <c r="O83" i="3"/>
  <c r="O82" i="3"/>
  <c r="O79" i="3"/>
  <c r="O78" i="3"/>
  <c r="O77" i="3"/>
  <c r="O76" i="3"/>
  <c r="O74" i="3"/>
  <c r="O71" i="3"/>
  <c r="O70" i="3"/>
  <c r="O65" i="3"/>
  <c r="O54" i="3"/>
  <c r="O42" i="3"/>
  <c r="O37" i="3"/>
  <c r="O36" i="3"/>
  <c r="O35" i="3"/>
  <c r="O34" i="3"/>
  <c r="O33" i="3"/>
  <c r="O32" i="3"/>
  <c r="O31" i="3"/>
  <c r="O30" i="3"/>
  <c r="O28" i="3"/>
  <c r="O27" i="3"/>
  <c r="O25" i="3"/>
  <c r="O23" i="3"/>
  <c r="O22" i="3"/>
  <c r="O21" i="3"/>
  <c r="O20" i="3"/>
  <c r="O108" i="3"/>
  <c r="O105" i="3"/>
  <c r="O60" i="3"/>
  <c r="O47" i="3"/>
  <c r="O39" i="3"/>
  <c r="O19" i="3"/>
  <c r="O67" i="3"/>
  <c r="O52" i="3"/>
  <c r="O17" i="3"/>
  <c r="O16" i="3"/>
  <c r="O15" i="3"/>
  <c r="O13" i="3"/>
  <c r="O12" i="3"/>
  <c r="O11" i="3"/>
  <c r="O10" i="3"/>
  <c r="O8" i="3"/>
  <c r="O7" i="3"/>
  <c r="O6" i="3"/>
  <c r="O5" i="3"/>
  <c r="O62" i="3"/>
  <c r="O45" i="3"/>
  <c r="O66" i="3"/>
  <c r="O57" i="3"/>
  <c r="O40" i="3"/>
  <c r="O4" i="3"/>
  <c r="O120" i="3"/>
  <c r="O104" i="3"/>
  <c r="O64" i="3"/>
  <c r="O55" i="3"/>
  <c r="O43" i="3"/>
  <c r="O59" i="3"/>
  <c r="O106" i="3"/>
  <c r="O103" i="3"/>
  <c r="O68" i="3"/>
  <c r="O51" i="3"/>
  <c r="O49" i="3"/>
  <c r="O53" i="3"/>
  <c r="P3" i="3"/>
  <c r="O58" i="3"/>
  <c r="O41" i="3"/>
  <c r="O46" i="3"/>
  <c r="O44" i="3"/>
  <c r="O63" i="3"/>
  <c r="O56" i="3"/>
  <c r="O61" i="3"/>
  <c r="P128" i="3" l="1"/>
  <c r="P124" i="3"/>
  <c r="P120" i="3"/>
  <c r="P108" i="3"/>
  <c r="P106" i="3"/>
  <c r="P105" i="3"/>
  <c r="P104" i="3"/>
  <c r="P103" i="3"/>
  <c r="P129" i="3"/>
  <c r="P90" i="3"/>
  <c r="P88" i="3"/>
  <c r="P87" i="3"/>
  <c r="P86" i="3"/>
  <c r="P85" i="3"/>
  <c r="P83" i="3"/>
  <c r="P82" i="3"/>
  <c r="P80" i="3"/>
  <c r="P78" i="3"/>
  <c r="P76" i="3"/>
  <c r="P72" i="3"/>
  <c r="P71" i="3"/>
  <c r="P70" i="3"/>
  <c r="P68" i="3"/>
  <c r="P67" i="3"/>
  <c r="P66" i="3"/>
  <c r="P65" i="3"/>
  <c r="P64" i="3"/>
  <c r="P63" i="3"/>
  <c r="P62" i="3"/>
  <c r="P61" i="3"/>
  <c r="P60" i="3"/>
  <c r="P59" i="3"/>
  <c r="P58" i="3"/>
  <c r="P57" i="3"/>
  <c r="P55" i="3"/>
  <c r="P54" i="3"/>
  <c r="P52" i="3"/>
  <c r="P49" i="3"/>
  <c r="P48" i="3"/>
  <c r="P47" i="3"/>
  <c r="P45" i="3"/>
  <c r="P44" i="3"/>
  <c r="P43" i="3"/>
  <c r="P42" i="3"/>
  <c r="P41" i="3"/>
  <c r="P40" i="3"/>
  <c r="P39" i="3"/>
  <c r="P118" i="3"/>
  <c r="P115" i="3"/>
  <c r="P112" i="3"/>
  <c r="P19" i="3"/>
  <c r="P125" i="3"/>
  <c r="P121" i="3"/>
  <c r="P101" i="3"/>
  <c r="P98" i="3"/>
  <c r="P95" i="3"/>
  <c r="P92" i="3"/>
  <c r="P17" i="3"/>
  <c r="P16" i="3"/>
  <c r="P15" i="3"/>
  <c r="P13" i="3"/>
  <c r="P11" i="3"/>
  <c r="P10" i="3"/>
  <c r="P8" i="3"/>
  <c r="P7" i="3"/>
  <c r="P6" i="3"/>
  <c r="P5" i="3"/>
  <c r="P4" i="3"/>
  <c r="P117" i="3"/>
  <c r="P111" i="3"/>
  <c r="P127" i="3"/>
  <c r="P123" i="3"/>
  <c r="P100" i="3"/>
  <c r="P97" i="3"/>
  <c r="P94" i="3"/>
  <c r="Q3" i="3"/>
  <c r="Q124" i="3" s="1"/>
  <c r="P126" i="3"/>
  <c r="P122" i="3"/>
  <c r="P99" i="3"/>
  <c r="P93" i="3"/>
  <c r="P36" i="3"/>
  <c r="P33" i="3"/>
  <c r="P30" i="3"/>
  <c r="P24" i="3"/>
  <c r="P21" i="3"/>
  <c r="P37" i="3"/>
  <c r="P34" i="3"/>
  <c r="P25" i="3"/>
  <c r="P113" i="3"/>
  <c r="P35" i="3"/>
  <c r="P32" i="3"/>
  <c r="P29" i="3"/>
  <c r="P23" i="3"/>
  <c r="P20" i="3"/>
  <c r="P110" i="3"/>
  <c r="P28" i="3"/>
  <c r="P116" i="3"/>
  <c r="P119" i="3"/>
  <c r="P22" i="3"/>
  <c r="Q118" i="3" l="1"/>
  <c r="Q117" i="3"/>
  <c r="Q116" i="3"/>
  <c r="Q115" i="3"/>
  <c r="Q113" i="3"/>
  <c r="Q112" i="3"/>
  <c r="Q111" i="3"/>
  <c r="Q110" i="3"/>
  <c r="Q126" i="3"/>
  <c r="Q123" i="3"/>
  <c r="Q101" i="3"/>
  <c r="Q100" i="3"/>
  <c r="Q99" i="3"/>
  <c r="Q98" i="3"/>
  <c r="Q97" i="3"/>
  <c r="Q95" i="3"/>
  <c r="Q94" i="3"/>
  <c r="Q93" i="3"/>
  <c r="Q92" i="3"/>
  <c r="Q83" i="3"/>
  <c r="Q82" i="3"/>
  <c r="Q80" i="3"/>
  <c r="Q78" i="3"/>
  <c r="Q77" i="3"/>
  <c r="Q76" i="3"/>
  <c r="Q74" i="3"/>
  <c r="Q72" i="3"/>
  <c r="Q71" i="3"/>
  <c r="Q68" i="3"/>
  <c r="Q67" i="3"/>
  <c r="Q66" i="3"/>
  <c r="Q65" i="3"/>
  <c r="Q64" i="3"/>
  <c r="Q63" i="3"/>
  <c r="Q62" i="3"/>
  <c r="Q61" i="3"/>
  <c r="Q60" i="3"/>
  <c r="Q59" i="3"/>
  <c r="Q58" i="3"/>
  <c r="Q56" i="3"/>
  <c r="Q55" i="3"/>
  <c r="Q53" i="3"/>
  <c r="Q52" i="3"/>
  <c r="Q51" i="3"/>
  <c r="Q49" i="3"/>
  <c r="Q48" i="3"/>
  <c r="Q47" i="3"/>
  <c r="Q46" i="3"/>
  <c r="Q45" i="3"/>
  <c r="Q44" i="3"/>
  <c r="Q43" i="3"/>
  <c r="Q41" i="3"/>
  <c r="Q108" i="3"/>
  <c r="Q105" i="3"/>
  <c r="Q39" i="3"/>
  <c r="Q17" i="3"/>
  <c r="Q16" i="3"/>
  <c r="Q15" i="3"/>
  <c r="Q13" i="3"/>
  <c r="Q11" i="3"/>
  <c r="Q10" i="3"/>
  <c r="Q9" i="3"/>
  <c r="Q6" i="3"/>
  <c r="Q5" i="3"/>
  <c r="Q88" i="3"/>
  <c r="Q85" i="3"/>
  <c r="Q4" i="3"/>
  <c r="Q120" i="3"/>
  <c r="Q104" i="3"/>
  <c r="Q90" i="3"/>
  <c r="Q87" i="3"/>
  <c r="R3" i="3"/>
  <c r="R124" i="3" s="1"/>
  <c r="Q86" i="3"/>
  <c r="Q103" i="3"/>
  <c r="Q36" i="3"/>
  <c r="Q19" i="3"/>
  <c r="Q35" i="3"/>
  <c r="Q32" i="3"/>
  <c r="Q29" i="3"/>
  <c r="Q23" i="3"/>
  <c r="Q20" i="3"/>
  <c r="Q106" i="3"/>
  <c r="Q21" i="3"/>
  <c r="Q30" i="3"/>
  <c r="Q24" i="3"/>
  <c r="Q27" i="3"/>
  <c r="Q37" i="3"/>
  <c r="Q34" i="3"/>
  <c r="Q28" i="3"/>
  <c r="Q25" i="3"/>
  <c r="R128" i="3" l="1"/>
  <c r="R119" i="3"/>
  <c r="R118" i="3"/>
  <c r="R117" i="3"/>
  <c r="R116" i="3"/>
  <c r="R114" i="3"/>
  <c r="R113" i="3"/>
  <c r="R112" i="3"/>
  <c r="R111" i="3"/>
  <c r="R110" i="3"/>
  <c r="R120" i="3"/>
  <c r="R108" i="3"/>
  <c r="R107" i="3"/>
  <c r="R106" i="3"/>
  <c r="R105" i="3"/>
  <c r="R104" i="3"/>
  <c r="R103" i="3"/>
  <c r="R90" i="3"/>
  <c r="R89" i="3"/>
  <c r="R88" i="3"/>
  <c r="R87" i="3"/>
  <c r="R86" i="3"/>
  <c r="R85" i="3"/>
  <c r="R68" i="3"/>
  <c r="R66" i="3"/>
  <c r="R64" i="3"/>
  <c r="R63" i="3"/>
  <c r="R61" i="3"/>
  <c r="R60" i="3"/>
  <c r="R58" i="3"/>
  <c r="R57" i="3"/>
  <c r="R125" i="3"/>
  <c r="R121" i="3"/>
  <c r="R101" i="3"/>
  <c r="R98" i="3"/>
  <c r="R95" i="3"/>
  <c r="R92" i="3"/>
  <c r="R78" i="3"/>
  <c r="R52" i="3"/>
  <c r="R4" i="3"/>
  <c r="R45" i="3"/>
  <c r="R40" i="3"/>
  <c r="R70" i="3"/>
  <c r="R50" i="3"/>
  <c r="R127" i="3"/>
  <c r="R123" i="3"/>
  <c r="R100" i="3"/>
  <c r="R97" i="3"/>
  <c r="R94" i="3"/>
  <c r="R55" i="3"/>
  <c r="R43" i="3"/>
  <c r="S3" i="3"/>
  <c r="S124" i="3" s="1"/>
  <c r="R83" i="3"/>
  <c r="R80" i="3"/>
  <c r="R77" i="3"/>
  <c r="R72" i="3"/>
  <c r="R48" i="3"/>
  <c r="R53" i="3"/>
  <c r="R41" i="3"/>
  <c r="R82" i="3"/>
  <c r="R76" i="3"/>
  <c r="R56" i="3"/>
  <c r="R44" i="3"/>
  <c r="R37" i="3"/>
  <c r="R36" i="3"/>
  <c r="R34" i="3"/>
  <c r="R33" i="3"/>
  <c r="R32" i="3"/>
  <c r="R30" i="3"/>
  <c r="R29" i="3"/>
  <c r="R28" i="3"/>
  <c r="R27" i="3"/>
  <c r="R24" i="3"/>
  <c r="R22" i="3"/>
  <c r="R21" i="3"/>
  <c r="R20" i="3"/>
  <c r="R54" i="3"/>
  <c r="R39" i="3"/>
  <c r="R9" i="3"/>
  <c r="R6" i="3"/>
  <c r="R7" i="3"/>
  <c r="R126" i="3"/>
  <c r="R99" i="3"/>
  <c r="R13" i="3"/>
  <c r="R74" i="3"/>
  <c r="R17" i="3"/>
  <c r="R14" i="3"/>
  <c r="R5" i="3"/>
  <c r="R16" i="3"/>
  <c r="R46" i="3"/>
  <c r="R51" i="3"/>
  <c r="R10" i="3"/>
  <c r="R93" i="3"/>
  <c r="R96" i="3"/>
  <c r="R19" i="3"/>
  <c r="R71" i="3"/>
  <c r="S128" i="3" l="1"/>
  <c r="S120" i="3"/>
  <c r="S108" i="3"/>
  <c r="S107" i="3"/>
  <c r="S106" i="3"/>
  <c r="S105" i="3"/>
  <c r="S104" i="3"/>
  <c r="S103" i="3"/>
  <c r="S127" i="3"/>
  <c r="S126" i="3"/>
  <c r="S125" i="3"/>
  <c r="S123" i="3"/>
  <c r="S121" i="3"/>
  <c r="S101" i="3"/>
  <c r="S100" i="3"/>
  <c r="S99" i="3"/>
  <c r="S98" i="3"/>
  <c r="S97" i="3"/>
  <c r="S96" i="3"/>
  <c r="S95" i="3"/>
  <c r="S94" i="3"/>
  <c r="S93" i="3"/>
  <c r="S92" i="3"/>
  <c r="S83" i="3"/>
  <c r="S82" i="3"/>
  <c r="S80" i="3"/>
  <c r="S78" i="3"/>
  <c r="S77" i="3"/>
  <c r="S76" i="3"/>
  <c r="S74" i="3"/>
  <c r="S72" i="3"/>
  <c r="S71" i="3"/>
  <c r="S70" i="3"/>
  <c r="S88" i="3"/>
  <c r="S85" i="3"/>
  <c r="S60" i="3"/>
  <c r="S52" i="3"/>
  <c r="S4" i="3"/>
  <c r="S45" i="3"/>
  <c r="S40" i="3"/>
  <c r="S50" i="3"/>
  <c r="S117" i="3"/>
  <c r="S114" i="3"/>
  <c r="S111" i="3"/>
  <c r="S57" i="3"/>
  <c r="S55" i="3"/>
  <c r="S43" i="3"/>
  <c r="T3" i="3"/>
  <c r="S119" i="3"/>
  <c r="S113" i="3"/>
  <c r="S110" i="3"/>
  <c r="S90" i="3"/>
  <c r="S87" i="3"/>
  <c r="S64" i="3"/>
  <c r="S48" i="3"/>
  <c r="S53" i="3"/>
  <c r="S41" i="3"/>
  <c r="S66" i="3"/>
  <c r="S46" i="3"/>
  <c r="S63" i="3"/>
  <c r="S19" i="3"/>
  <c r="S115" i="3"/>
  <c r="S89" i="3"/>
  <c r="S32" i="3"/>
  <c r="S29" i="3"/>
  <c r="S26" i="3"/>
  <c r="S23" i="3"/>
  <c r="S20" i="3"/>
  <c r="S36" i="3"/>
  <c r="S12" i="3"/>
  <c r="S58" i="3"/>
  <c r="S17" i="3"/>
  <c r="S14" i="3"/>
  <c r="S11" i="3"/>
  <c r="S5" i="3"/>
  <c r="S68" i="3"/>
  <c r="S15" i="3"/>
  <c r="S112" i="3"/>
  <c r="S86" i="3"/>
  <c r="S47" i="3"/>
  <c r="S44" i="3"/>
  <c r="S24" i="3"/>
  <c r="S54" i="3"/>
  <c r="S51" i="3"/>
  <c r="S21" i="3"/>
  <c r="S39" i="3"/>
  <c r="S6" i="3"/>
  <c r="S56" i="3"/>
  <c r="S37" i="3"/>
  <c r="S34" i="3"/>
  <c r="S28" i="3"/>
  <c r="S22" i="3"/>
  <c r="S33" i="3"/>
  <c r="S9" i="3"/>
  <c r="S10" i="3"/>
  <c r="S7" i="3"/>
  <c r="S61" i="3"/>
  <c r="S118" i="3"/>
  <c r="S27" i="3"/>
  <c r="T128" i="3" l="1"/>
  <c r="T127" i="3"/>
  <c r="T126" i="3"/>
  <c r="T125" i="3"/>
  <c r="T123" i="3"/>
  <c r="T121" i="3"/>
  <c r="T101" i="3"/>
  <c r="T100" i="3"/>
  <c r="T99" i="3"/>
  <c r="T98" i="3"/>
  <c r="T97" i="3"/>
  <c r="T96" i="3"/>
  <c r="T95" i="3"/>
  <c r="T94" i="3"/>
  <c r="T93" i="3"/>
  <c r="T92" i="3"/>
  <c r="T90" i="3"/>
  <c r="T89" i="3"/>
  <c r="T88" i="3"/>
  <c r="T87" i="3"/>
  <c r="T86" i="3"/>
  <c r="T85" i="3"/>
  <c r="T67" i="3"/>
  <c r="T65" i="3"/>
  <c r="T64" i="3"/>
  <c r="T62" i="3"/>
  <c r="T61" i="3"/>
  <c r="T59" i="3"/>
  <c r="T58" i="3"/>
  <c r="T57" i="3"/>
  <c r="T56" i="3"/>
  <c r="T119" i="3"/>
  <c r="T118" i="3"/>
  <c r="T116" i="3"/>
  <c r="T115" i="3"/>
  <c r="T114" i="3"/>
  <c r="T113" i="3"/>
  <c r="T112" i="3"/>
  <c r="T111" i="3"/>
  <c r="T110" i="3"/>
  <c r="T78" i="3"/>
  <c r="T45" i="3"/>
  <c r="T40" i="3"/>
  <c r="T50" i="3"/>
  <c r="T70" i="3"/>
  <c r="T55" i="3"/>
  <c r="T43" i="3"/>
  <c r="T120" i="3"/>
  <c r="T107" i="3"/>
  <c r="T104" i="3"/>
  <c r="T48" i="3"/>
  <c r="T106" i="3"/>
  <c r="T103" i="3"/>
  <c r="T83" i="3"/>
  <c r="T80" i="3"/>
  <c r="T77" i="3"/>
  <c r="T72" i="3"/>
  <c r="T53" i="3"/>
  <c r="T41" i="3"/>
  <c r="T46" i="3"/>
  <c r="T74" i="3"/>
  <c r="T51" i="3"/>
  <c r="T54" i="3"/>
  <c r="T42" i="3"/>
  <c r="T39" i="3"/>
  <c r="T18" i="3"/>
  <c r="T16" i="3"/>
  <c r="T15" i="3"/>
  <c r="T14" i="3"/>
  <c r="T12" i="3"/>
  <c r="T11" i="3"/>
  <c r="T9" i="3"/>
  <c r="T8" i="3"/>
  <c r="T7" i="3"/>
  <c r="T6" i="3"/>
  <c r="T5" i="3"/>
  <c r="T29" i="3"/>
  <c r="T23" i="3"/>
  <c r="T79" i="3"/>
  <c r="T76" i="3"/>
  <c r="T35" i="3"/>
  <c r="T32" i="3"/>
  <c r="T26" i="3"/>
  <c r="T47" i="3"/>
  <c r="T52" i="3"/>
  <c r="T22" i="3"/>
  <c r="T4" i="3"/>
  <c r="T108" i="3"/>
  <c r="T73" i="3"/>
  <c r="T33" i="3"/>
  <c r="T27" i="3"/>
  <c r="T24" i="3"/>
  <c r="T21" i="3"/>
  <c r="T105" i="3"/>
  <c r="Z4" i="3"/>
  <c r="G4" i="3"/>
  <c r="H4" i="3" s="1" a="1"/>
  <c r="T37" i="3" s="1"/>
  <c r="T81" i="3" l="1"/>
  <c r="T82" i="3"/>
  <c r="T38" i="3"/>
  <c r="T63" i="3"/>
  <c r="T49" i="3"/>
  <c r="T17" i="3"/>
  <c r="T66" i="3"/>
  <c r="T25" i="3"/>
  <c r="T68" i="3"/>
  <c r="T31" i="3"/>
  <c r="T71" i="3"/>
  <c r="T117" i="3"/>
  <c r="D137" i="5"/>
  <c r="D121" i="5"/>
  <c r="D105" i="5"/>
  <c r="D89" i="5"/>
  <c r="D72" i="5"/>
  <c r="D56" i="5"/>
  <c r="D28" i="5"/>
  <c r="J75" i="3"/>
  <c r="I86" i="3"/>
  <c r="K85" i="3"/>
  <c r="D136" i="5"/>
  <c r="D120" i="5"/>
  <c r="D104" i="5"/>
  <c r="D71" i="5"/>
  <c r="D55" i="5"/>
  <c r="D27" i="5"/>
  <c r="I18" i="3"/>
  <c r="I75" i="3"/>
  <c r="D135" i="5"/>
  <c r="D119" i="5"/>
  <c r="D103" i="5"/>
  <c r="D87" i="5"/>
  <c r="D70" i="5"/>
  <c r="D54" i="5"/>
  <c r="D26" i="5"/>
  <c r="J38" i="3"/>
  <c r="J99" i="3"/>
  <c r="D150" i="5"/>
  <c r="D86" i="5"/>
  <c r="D53" i="5"/>
  <c r="D82" i="5"/>
  <c r="J103" i="3"/>
  <c r="K99" i="3"/>
  <c r="K103" i="3"/>
  <c r="D149" i="5"/>
  <c r="D117" i="5"/>
  <c r="D101" i="5"/>
  <c r="D85" i="5"/>
  <c r="D68" i="5"/>
  <c r="D52" i="5"/>
  <c r="J110" i="3"/>
  <c r="J84" i="3"/>
  <c r="D148" i="5"/>
  <c r="D116" i="5"/>
  <c r="D84" i="5"/>
  <c r="D67" i="5"/>
  <c r="K97" i="3"/>
  <c r="D131" i="5"/>
  <c r="D83" i="5"/>
  <c r="D50" i="5"/>
  <c r="J92" i="3"/>
  <c r="J41" i="3"/>
  <c r="D129" i="5"/>
  <c r="D64" i="5"/>
  <c r="I99" i="3"/>
  <c r="K41" i="3"/>
  <c r="D128" i="5"/>
  <c r="D96" i="5"/>
  <c r="D47" i="5"/>
  <c r="J108" i="3"/>
  <c r="K110" i="3"/>
  <c r="D127" i="5"/>
  <c r="D78" i="5"/>
  <c r="D46" i="5"/>
  <c r="J78" i="3"/>
  <c r="K92" i="3"/>
  <c r="D110" i="5"/>
  <c r="I94" i="3"/>
  <c r="D125" i="5"/>
  <c r="D76" i="5"/>
  <c r="J18" i="3"/>
  <c r="D140" i="5"/>
  <c r="J83" i="3"/>
  <c r="D123" i="5"/>
  <c r="D91" i="5"/>
  <c r="D74" i="5"/>
  <c r="I104" i="3"/>
  <c r="K9" i="3"/>
  <c r="D122" i="5"/>
  <c r="J9" i="3"/>
  <c r="K75" i="3"/>
  <c r="D88" i="5"/>
  <c r="D134" i="5"/>
  <c r="D118" i="5"/>
  <c r="D102" i="5"/>
  <c r="D69" i="5"/>
  <c r="J90" i="3"/>
  <c r="D133" i="5"/>
  <c r="J102" i="3"/>
  <c r="D132" i="5"/>
  <c r="D100" i="5"/>
  <c r="D51" i="5"/>
  <c r="I105" i="3"/>
  <c r="K18" i="3"/>
  <c r="D147" i="5"/>
  <c r="D115" i="5"/>
  <c r="D99" i="5"/>
  <c r="D66" i="5"/>
  <c r="I93" i="3"/>
  <c r="K78" i="3"/>
  <c r="D146" i="5"/>
  <c r="D130" i="5"/>
  <c r="D114" i="5"/>
  <c r="D98" i="5"/>
  <c r="D81" i="5"/>
  <c r="D65" i="5"/>
  <c r="D49" i="5"/>
  <c r="J109" i="3"/>
  <c r="D145" i="5"/>
  <c r="D113" i="5"/>
  <c r="D97" i="5"/>
  <c r="D80" i="5"/>
  <c r="D48" i="5"/>
  <c r="J91" i="3"/>
  <c r="D144" i="5"/>
  <c r="D112" i="5"/>
  <c r="D79" i="5"/>
  <c r="D61" i="5"/>
  <c r="J85" i="3"/>
  <c r="D143" i="5"/>
  <c r="D111" i="5"/>
  <c r="D95" i="5"/>
  <c r="D62" i="5"/>
  <c r="I38" i="3"/>
  <c r="D142" i="5"/>
  <c r="D94" i="5"/>
  <c r="D77" i="5"/>
  <c r="D63" i="5"/>
  <c r="D45" i="5"/>
  <c r="J61" i="3"/>
  <c r="D141" i="5"/>
  <c r="D93" i="5"/>
  <c r="D32" i="5"/>
  <c r="J101" i="3"/>
  <c r="K38" i="3"/>
  <c r="D124" i="5"/>
  <c r="D75" i="5"/>
  <c r="D31" i="5"/>
  <c r="D139" i="5"/>
  <c r="D58" i="5"/>
  <c r="I87" i="3"/>
  <c r="D138" i="5"/>
  <c r="D90" i="5"/>
  <c r="D73" i="5"/>
  <c r="D29" i="5"/>
  <c r="D126" i="5"/>
  <c r="D109" i="5"/>
  <c r="D60" i="5"/>
  <c r="D108" i="5"/>
  <c r="D92" i="5"/>
  <c r="D59" i="5"/>
  <c r="I112" i="3"/>
  <c r="D107" i="5"/>
  <c r="D30" i="5"/>
  <c r="D106" i="5"/>
  <c r="D57" i="5"/>
  <c r="I111" i="3"/>
  <c r="L5" i="3"/>
  <c r="L78" i="3"/>
  <c r="L48" i="3"/>
  <c r="L100" i="3"/>
  <c r="L73" i="3"/>
  <c r="L72" i="3"/>
  <c r="L26" i="3"/>
  <c r="L38" i="3"/>
  <c r="L9" i="3"/>
  <c r="L110" i="3"/>
  <c r="L18" i="3"/>
  <c r="L85" i="3"/>
  <c r="L41" i="3"/>
  <c r="L103" i="3"/>
  <c r="L75" i="3"/>
  <c r="L92" i="3"/>
  <c r="L50" i="3"/>
  <c r="M72" i="3"/>
  <c r="M103" i="3"/>
  <c r="M75" i="3"/>
  <c r="M92" i="3"/>
  <c r="M18" i="3"/>
  <c r="M26" i="3"/>
  <c r="M110" i="3"/>
  <c r="M24" i="3"/>
  <c r="M73" i="3"/>
  <c r="M50" i="3"/>
  <c r="M38" i="3"/>
  <c r="M98" i="3"/>
  <c r="M81" i="3"/>
  <c r="M41" i="3"/>
  <c r="M29" i="3"/>
  <c r="M80" i="3"/>
  <c r="M76" i="3"/>
  <c r="M100" i="3"/>
  <c r="M85" i="3"/>
  <c r="M9" i="3"/>
  <c r="M48" i="3"/>
  <c r="N39" i="3"/>
  <c r="N48" i="3"/>
  <c r="N124" i="3"/>
  <c r="N100" i="3"/>
  <c r="N6" i="3"/>
  <c r="N72" i="3"/>
  <c r="N120" i="3"/>
  <c r="N118" i="3"/>
  <c r="N29" i="3"/>
  <c r="N75" i="3"/>
  <c r="N55" i="3"/>
  <c r="N107" i="3"/>
  <c r="N24" i="3"/>
  <c r="N114" i="3"/>
  <c r="N126" i="3"/>
  <c r="N50" i="3"/>
  <c r="N32" i="3"/>
  <c r="N69" i="3"/>
  <c r="N52" i="3"/>
  <c r="N43" i="3"/>
  <c r="N38" i="3"/>
  <c r="N89" i="3"/>
  <c r="N88" i="3"/>
  <c r="N123" i="3"/>
  <c r="N80" i="3"/>
  <c r="N106" i="3"/>
  <c r="N96" i="3"/>
  <c r="N73" i="3"/>
  <c r="N26" i="3"/>
  <c r="N18" i="3"/>
  <c r="N95" i="3"/>
  <c r="N45" i="3"/>
  <c r="N113" i="3"/>
  <c r="N14" i="3"/>
  <c r="N21" i="3"/>
  <c r="N81" i="3"/>
  <c r="N9" i="3"/>
  <c r="O26" i="3"/>
  <c r="O50" i="3"/>
  <c r="O24" i="3"/>
  <c r="O73" i="3"/>
  <c r="O18" i="3"/>
  <c r="O14" i="3"/>
  <c r="O100" i="3"/>
  <c r="O38" i="3"/>
  <c r="O48" i="3"/>
  <c r="O72" i="3"/>
  <c r="O81" i="3"/>
  <c r="O107" i="3"/>
  <c r="O80" i="3"/>
  <c r="O114" i="3"/>
  <c r="O96" i="3"/>
  <c r="O9" i="3"/>
  <c r="O75" i="3"/>
  <c r="O29" i="3"/>
  <c r="O89" i="3"/>
  <c r="P50" i="3"/>
  <c r="P96" i="3"/>
  <c r="P26" i="3"/>
  <c r="P81" i="3"/>
  <c r="P107" i="3"/>
  <c r="P31" i="3"/>
  <c r="P56" i="3"/>
  <c r="P79" i="3"/>
  <c r="P46" i="3"/>
  <c r="P74" i="3"/>
  <c r="P12" i="3"/>
  <c r="P38" i="3"/>
  <c r="P51" i="3"/>
  <c r="P9" i="3"/>
  <c r="P77" i="3"/>
  <c r="P18" i="3"/>
  <c r="P114" i="3"/>
  <c r="P27" i="3"/>
  <c r="P75" i="3"/>
  <c r="P73" i="3"/>
  <c r="P14" i="3"/>
  <c r="P89" i="3"/>
  <c r="P53" i="3"/>
  <c r="Q129" i="3"/>
  <c r="Q122" i="3"/>
  <c r="Q79" i="3"/>
  <c r="Q119" i="3"/>
  <c r="Q75" i="3"/>
  <c r="Q42" i="3"/>
  <c r="Q7" i="3"/>
  <c r="Q31" i="3"/>
  <c r="Q57" i="3"/>
  <c r="Q73" i="3"/>
  <c r="Q38" i="3"/>
  <c r="Q114" i="3"/>
  <c r="Q96" i="3"/>
  <c r="Q22" i="3"/>
  <c r="Q54" i="3"/>
  <c r="Q33" i="3"/>
  <c r="Q70" i="3"/>
  <c r="Q18" i="3"/>
  <c r="Q40" i="3"/>
  <c r="Q26" i="3"/>
  <c r="Q125" i="3"/>
  <c r="Q12" i="3"/>
  <c r="Q128" i="3"/>
  <c r="Q121" i="3"/>
  <c r="Q89" i="3"/>
  <c r="Q8" i="3"/>
  <c r="Q127" i="3"/>
  <c r="Q50" i="3"/>
  <c r="Q107" i="3"/>
  <c r="Q81" i="3"/>
  <c r="Q14" i="3"/>
  <c r="R42" i="3"/>
  <c r="R67" i="3"/>
  <c r="R73" i="3"/>
  <c r="R65" i="3"/>
  <c r="R47" i="3"/>
  <c r="R11" i="3"/>
  <c r="R62" i="3"/>
  <c r="R18" i="3"/>
  <c r="R15" i="3"/>
  <c r="R129" i="3"/>
  <c r="R79" i="3"/>
  <c r="R26" i="3"/>
  <c r="R25" i="3"/>
  <c r="R23" i="3"/>
  <c r="R38" i="3"/>
  <c r="R81" i="3"/>
  <c r="R35" i="3"/>
  <c r="R8" i="3"/>
  <c r="R122" i="3"/>
  <c r="R75" i="3"/>
  <c r="R12" i="3"/>
  <c r="R49" i="3"/>
  <c r="R115" i="3"/>
  <c r="R31" i="3"/>
  <c r="R59" i="3"/>
  <c r="S59" i="3"/>
  <c r="S65" i="3"/>
  <c r="S129" i="3"/>
  <c r="S75" i="3"/>
  <c r="S73" i="3"/>
  <c r="S13" i="3"/>
  <c r="S49" i="3"/>
  <c r="S42" i="3"/>
  <c r="S38" i="3"/>
  <c r="S116" i="3"/>
  <c r="S30" i="3"/>
  <c r="S8" i="3"/>
  <c r="S81" i="3"/>
  <c r="S67" i="3"/>
  <c r="S122" i="3"/>
  <c r="S25" i="3"/>
  <c r="S18" i="3"/>
  <c r="S31" i="3"/>
  <c r="S79" i="3"/>
  <c r="S35" i="3"/>
  <c r="S62" i="3"/>
  <c r="S16" i="3"/>
  <c r="H4" i="3"/>
  <c r="T28" i="3"/>
  <c r="T34" i="3"/>
  <c r="T122" i="3"/>
  <c r="T19" i="3"/>
  <c r="T30" i="3"/>
  <c r="T10" i="3"/>
  <c r="T75" i="3"/>
  <c r="T36" i="3"/>
  <c r="T20" i="3"/>
  <c r="T129" i="3"/>
  <c r="T44" i="3"/>
  <c r="T13" i="3"/>
  <c r="T60" i="3"/>
  <c r="K4" i="3" l="1"/>
  <c r="I4" i="3"/>
  <c r="J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<sst xmlns="http://schemas.openxmlformats.org/spreadsheetml/2006/main" count="1103" uniqueCount="132">
  <si>
    <t>tahap_proyek_id</t>
  </si>
  <si>
    <t>Tahapan</t>
  </si>
  <si>
    <t>Deliverables</t>
  </si>
  <si>
    <t>order_step</t>
  </si>
  <si>
    <t>start</t>
  </si>
  <si>
    <t>end</t>
  </si>
  <si>
    <t>tanggal_realisasi</t>
  </si>
  <si>
    <t>checklist</t>
  </si>
  <si>
    <t>nomor</t>
  </si>
  <si>
    <t>status</t>
  </si>
  <si>
    <t>catatan</t>
  </si>
  <si>
    <t>created_at</t>
  </si>
  <si>
    <t>modified_at</t>
  </si>
  <si>
    <t>Pra Pembangunan dan Pra Pengadaan</t>
  </si>
  <si>
    <t>RBT</t>
  </si>
  <si>
    <t>RPP</t>
  </si>
  <si>
    <t>RBTek</t>
  </si>
  <si>
    <t>Pengadaan - Kons. Perancang</t>
  </si>
  <si>
    <t>KAK</t>
  </si>
  <si>
    <t>SPPP</t>
  </si>
  <si>
    <t>Pengadaan - Kons. MK</t>
  </si>
  <si>
    <t>Pengadaan - Kontraktor</t>
  </si>
  <si>
    <t>Implementasi</t>
  </si>
  <si>
    <t>Kick Off</t>
  </si>
  <si>
    <t>BAST 1</t>
  </si>
  <si>
    <t>BAST 2</t>
  </si>
  <si>
    <t>Pengadaan - Lahan</t>
  </si>
  <si>
    <t>AJB</t>
  </si>
  <si>
    <t>FINISHED</t>
  </si>
  <si>
    <t>ON TRACK</t>
  </si>
  <si>
    <t>Pembangunan Fisik</t>
  </si>
  <si>
    <t>Pengadaan - Lahan - Kons. Properti</t>
  </si>
  <si>
    <t>Pengadaan - Lahan - Shortlist</t>
  </si>
  <si>
    <t xml:space="preserve">Current Date :   </t>
  </si>
  <si>
    <t>No</t>
  </si>
  <si>
    <t>Nama Proyek</t>
  </si>
  <si>
    <t xml:space="preserve">Tahap </t>
  </si>
  <si>
    <t>Q1</t>
  </si>
  <si>
    <t>Q2</t>
  </si>
  <si>
    <t>Q3</t>
  </si>
  <si>
    <t>Q4</t>
  </si>
  <si>
    <t>Checklist</t>
  </si>
  <si>
    <t>Start</t>
  </si>
  <si>
    <t>End</t>
  </si>
  <si>
    <t>Quarter</t>
  </si>
  <si>
    <t>Realisasi (Date)</t>
  </si>
  <si>
    <t>Tracker</t>
  </si>
  <si>
    <t>Nomor Kontrak</t>
  </si>
  <si>
    <t>Nomor</t>
  </si>
  <si>
    <t>Note</t>
  </si>
  <si>
    <t>Legend</t>
  </si>
  <si>
    <t>Color</t>
  </si>
  <si>
    <t>Code</t>
  </si>
  <si>
    <t>Modern Office</t>
  </si>
  <si>
    <t>2A</t>
  </si>
  <si>
    <t>Implementasi | Pembangunan Fisik</t>
  </si>
  <si>
    <t>Implementasi | BAST 1</t>
  </si>
  <si>
    <t>2B &amp; 2C</t>
  </si>
  <si>
    <t>Implementasi | SLO / SLF / BAPP</t>
  </si>
  <si>
    <t>Pra Pembangunan dan Pra Pengadaan | RPP</t>
  </si>
  <si>
    <t>Pra Pembangunan dan Pra Pengadaan | RBT</t>
  </si>
  <si>
    <t>28/284/DMAP/P/B</t>
  </si>
  <si>
    <t>28/160/DMAP/-GPPS-PBS/Srt/B</t>
  </si>
  <si>
    <t>Kick Off: 24 Apr 2026
PT Desain Paramitra Indonesia (gd. C, D &amp; tipikal)</t>
  </si>
  <si>
    <t>Pra Pembangunan dan Pra Pengadaan | RBTek</t>
  </si>
  <si>
    <t>Pengadaan - Kontraktor | KAK</t>
  </si>
  <si>
    <t>3A</t>
  </si>
  <si>
    <t>Pengadaan - Kontraktor | SPPP</t>
  </si>
  <si>
    <t>Pengadaan - Kons. Perancang | KAK</t>
  </si>
  <si>
    <t>Pengadaan - Kons. Perancang | SPPP</t>
  </si>
  <si>
    <t>Perkuatan Struktur Gedung KOPERBI Thamrin</t>
  </si>
  <si>
    <t>27/65/DPAN-GPAN1/M.01/B</t>
  </si>
  <si>
    <t>Pengadaan - Kons. MK | KAK</t>
  </si>
  <si>
    <t>Adendum kontrak payung Tahap 2A</t>
  </si>
  <si>
    <t>Pengadaan - Kons. MK | SPPP</t>
  </si>
  <si>
    <t>Pengadaan - Lahan | KAK</t>
  </si>
  <si>
    <t>Pengadaan - Lahan | AJB</t>
  </si>
  <si>
    <t>Fasilitas Akomodasi KOPERBI SINERGI</t>
  </si>
  <si>
    <t>SLO / SLF / BAPP</t>
  </si>
  <si>
    <t>Pembangunan Gd. E &amp; Taman Cinta Ilmu</t>
  </si>
  <si>
    <t>RBT akan sama dengan fasos dan cafetaria</t>
  </si>
  <si>
    <t>28/62/DPAN-GPAN1/M.01/B</t>
  </si>
  <si>
    <t>Gabung Fasos &amp; Gd. E</t>
  </si>
  <si>
    <t>28/45/DMAP-GPPS/Srt/B</t>
  </si>
  <si>
    <t>Kick Off: 17 Apr 2026</t>
  </si>
  <si>
    <t>Pembangunan Cafetaria, Nursery, dan Taman Cinta Keluarga</t>
  </si>
  <si>
    <t>28/149/DPAN/M.01/B</t>
  </si>
  <si>
    <t>Pembangunan DKW Sumut</t>
  </si>
  <si>
    <t>Pembangunan KPw Jambi</t>
  </si>
  <si>
    <t>Pembangunan KPw Sulawesi Tengah</t>
  </si>
  <si>
    <t>sulteng tanpa rbt</t>
  </si>
  <si>
    <t>MK bundling dengan GKS. Kontraktor ttp masing2. Pembangunan di oktober, BAST Desember</t>
  </si>
  <si>
    <t>Pembangunan KPw DKI Jakarta</t>
  </si>
  <si>
    <t>Ada jadwal RBT di MEI</t>
  </si>
  <si>
    <t>28/68/DPAN-GPAN1/M.01/B</t>
  </si>
  <si>
    <t>28/36/DMAP-GPPS/Srt/B</t>
  </si>
  <si>
    <t>Kick Off: 16 Apr 2026</t>
  </si>
  <si>
    <t>28/111/DMAP-GPPS/Srt/B</t>
  </si>
  <si>
    <t>Pembelian Lahan DKW Sumatera Utara</t>
  </si>
  <si>
    <t>Pembelian Lahan DKW Sumatera Selatan</t>
  </si>
  <si>
    <t>Pembelian Lahan KPw Aceh</t>
  </si>
  <si>
    <t>Pembelian Lahan KPw Bengkulu</t>
  </si>
  <si>
    <t>Pembelian Lahan KPw Maluku</t>
  </si>
  <si>
    <t>Pembelian Lahan KPw Sulawesi Barat</t>
  </si>
  <si>
    <t>Renovasi Gedung Fasos</t>
  </si>
  <si>
    <t>Renov Besar KPw Bali</t>
  </si>
  <si>
    <t>Renov Besar KPw DIY</t>
  </si>
  <si>
    <t>28/53/DMAP-GPPS/Srt/B</t>
  </si>
  <si>
    <t>28/66/DMAP-GPPS/Srt/B</t>
  </si>
  <si>
    <t>28/66/DMAP-GPPS/Srt/B
kontrak 28/383/DMAP/P/B 18 JUNI 26
PT Ciriajasa Cipta Mandiri
4,281,573,000 (no ppn)
4,752,546,030 (ppn)</t>
  </si>
  <si>
    <t>Ruang Rapat Komite Lt.14 MSP &amp; Area Kolaborasi Lt. 4 MRP</t>
  </si>
  <si>
    <t>No. SPPP 28/102/DMAP-GPPS-PBS/Srt/B
No. Kontrak 28/172/DMAP/P/B tgl 25 Mar 26
Nilai 1,506,985,000 (dgn PPN 1,672,753,350)</t>
  </si>
  <si>
    <t>Interior Lobby MSP</t>
  </si>
  <si>
    <t>28/1/DMAP-GPPS-PBS/Srt/B</t>
  </si>
  <si>
    <t>28/206/DMAP-GPPS-PBS/Srt/B</t>
  </si>
  <si>
    <t>bundling lobby MSP, Optimalisasi GBI dan Kompartemen ADG</t>
  </si>
  <si>
    <t>28/46/DMAP/Srt/B</t>
  </si>
  <si>
    <t>bundling lobby MSP, optimalisasi GBI dan Taman Milenial
No. 28/46/DMAP/Srt/B
nilai kontrak Rp62.629.000.000 (Rp69.518.190.000 dengan PPN 12%)</t>
  </si>
  <si>
    <t>Interior Kompartemen ADG</t>
  </si>
  <si>
    <t>Optimalisasi Grha Bhasvara Icchana (GBI)</t>
  </si>
  <si>
    <t>28/2/DMAP-GPPS-PBS/Srt/B</t>
  </si>
  <si>
    <t>Optimalisasi Taman Milenial</t>
  </si>
  <si>
    <t>Pembelian Lahan KPwBI Lampung</t>
  </si>
  <si>
    <t>Pembangunan GKS DIY</t>
  </si>
  <si>
    <t>Pembangunan GKS SULTENG</t>
  </si>
  <si>
    <t>28/36/DPAN-GPAN1-POPN1/Srt/B</t>
  </si>
  <si>
    <t>UKER</t>
  </si>
  <si>
    <t>GPAN1</t>
  </si>
  <si>
    <t>GPAN2</t>
  </si>
  <si>
    <t>KPAP</t>
  </si>
  <si>
    <t>Proyek DUMMY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</si>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</sst>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;@"/>
    <numFmt numFmtId="165" formatCode="[$-13809]d\ mmm\ yyyy;@"/>
    <numFmt numFmtId="166" formatCode="yyyy\-mm\-dd"/>
    <numFmt numFmtId="167" formatCode="[$-F800]dddd\,\ mmmm\ dd\,\ yyyy"/>
    <numFmt numFmtId="168" formatCode="mmm"/>
  </numFmts>
  <fonts count="10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7">
    <xf numFmtId="0" fontId="0" fillId="0" borderId="0" xfId="0"/>
    <xf numFmtId="164" fontId="0" fillId="0" borderId="0" xfId="0" applyNumberFormat="1"/>
    <xf numFmtId="17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8" fontId="3" fillId="3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10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7" fontId="0" fillId="0" borderId="2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left"/>
    </xf>
    <xf numFmtId="9" fontId="1" fillId="6" borderId="0" xfId="0" applyNumberFormat="1" applyFont="1" applyFill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9" fontId="0" fillId="0" borderId="2" xfId="0" applyNumberFormat="1" applyBorder="1" applyAlignment="1">
      <alignment horizontal="left"/>
    </xf>
    <xf numFmtId="9" fontId="0" fillId="7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left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applyAlignment="1">
      <alignment horizontal="left"/>
    </xf>
    <xf numFmtId="9" fontId="1" fillId="0" borderId="0" xfId="0" applyNumberFormat="1" applyFont="1" applyAlignment="1">
      <alignment horizontal="left"/>
    </xf>
    <xf numFmtId="9" fontId="0" fillId="0" borderId="0" xfId="0" applyNumberFormat="1" applyAlignment="1">
      <alignment horizontal="left"/>
    </xf>
    <xf numFmtId="0" fontId="7" fillId="0" borderId="2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2" xfId="0" applyBorder="1"/>
    <xf numFmtId="9" fontId="0" fillId="0" borderId="2" xfId="0" applyNumberFormat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/>
    <xf numFmtId="17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12" borderId="0" xfId="0" applyNumberFormat="1" applyFill="1"/>
    <xf numFmtId="17" fontId="0" fillId="12" borderId="0" xfId="0" applyNumberFormat="1" applyFill="1"/>
    <xf numFmtId="166" fontId="0" fillId="12" borderId="0" xfId="0" applyNumberFormat="1" applyFill="1"/>
    <xf numFmtId="164" fontId="0" fillId="12" borderId="0" xfId="0" applyNumberFormat="1" applyFill="1"/>
    <xf numFmtId="9" fontId="6" fillId="0" borderId="0" xfId="1" applyFont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7" xfId="0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165" fontId="5" fillId="5" borderId="7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17" fontId="4" fillId="3" borderId="3" xfId="0" applyNumberFormat="1" applyFont="1" applyFill="1" applyBorder="1" applyAlignment="1">
      <alignment horizontal="center" vertical="center"/>
    </xf>
    <xf numFmtId="17" fontId="4" fillId="3" borderId="7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"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1"/>
      </font>
      <fill>
        <patternFill>
          <bgColor rgb="FFFAD706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rgb="FF92D050"/>
      </font>
      <fill>
        <patternFill>
          <bgColor rgb="FF92D050"/>
        </patternFill>
      </fill>
    </dxf>
    <dxf>
      <font>
        <color theme="8" tint="-0.24994659260841701"/>
      </font>
      <fill>
        <patternFill>
          <bgColor theme="8" tint="-0.24994659260841701"/>
        </patternFill>
      </fill>
    </dxf>
    <dxf>
      <font>
        <color rgb="FF00B0F0"/>
      </font>
      <fill>
        <patternFill>
          <bgColor rgb="FF00B0F0"/>
        </patternFill>
      </fill>
    </dxf>
    <dxf>
      <font>
        <color theme="8" tint="0.59996337778862885"/>
      </font>
      <fill>
        <patternFill>
          <bgColor theme="8" tint="0.59996337778862885"/>
        </patternFill>
      </fill>
    </dxf>
    <dxf>
      <font>
        <color rgb="FFC00000"/>
      </font>
      <fill>
        <patternFill>
          <bgColor rgb="FFC00000"/>
        </patternFill>
      </fill>
    </dxf>
    <dxf>
      <font>
        <color rgb="FFC00000"/>
      </font>
      <fill>
        <patternFill>
          <bgColor rgb="FFC00000"/>
        </patternFill>
      </fill>
    </dxf>
    <dxf>
      <font>
        <color theme="5"/>
      </font>
      <fill>
        <patternFill>
          <bgColor theme="5"/>
        </patternFill>
      </fill>
    </dxf>
    <dxf>
      <font>
        <color theme="5"/>
      </font>
      <fill>
        <patternFill>
          <bgColor theme="5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7030A0"/>
      </font>
      <fill>
        <patternFill>
          <bgColor rgb="FF7030A0"/>
        </patternFill>
      </fill>
    </dxf>
    <dxf>
      <font>
        <color rgb="FF7030A0"/>
      </font>
      <fill>
        <patternFill>
          <bgColor rgb="FF7030A0"/>
        </patternFill>
      </fill>
    </dxf>
    <dxf>
      <font>
        <b/>
        <i val="0"/>
        <color theme="1"/>
      </font>
      <fill>
        <patternFill>
          <bgColor rgb="FFFFC000"/>
        </patternFill>
      </fill>
    </dxf>
    <dxf>
      <font>
        <b/>
        <i val="0"/>
        <color theme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E491CC-8823-46A0-A272-5ADD85BB8F69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EBDE-84B1-4071-A09F-57D3444EF720}">
  <dimension ref="A1:M151"/>
  <sheetViews>
    <sheetView workbookViewId="0">
      <selection activeCell="D9" sqref="D9"/>
    </sheetView>
  </sheetViews>
  <sheetFormatPr defaultRowHeight="14.4" x14ac:dyDescent="0.3"/>
  <cols>
    <col min="1" max="1" width="14.44140625" customWidth="1"/>
    <col min="2" max="2" width="32.88671875" bestFit="1" customWidth="1"/>
    <col min="3" max="3" width="17" bestFit="1" customWidth="1"/>
    <col min="7" max="7" width="15.5546875" customWidth="1"/>
    <col min="10" max="10" width="12.44140625" bestFit="1" customWidth="1"/>
    <col min="11" max="11" width="9.109375" customWidth="1"/>
    <col min="12" max="12" width="15.44140625" customWidth="1"/>
    <col min="13" max="13" width="15.88671875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7" t="s">
        <v>11</v>
      </c>
      <c r="M1" s="7" t="s">
        <v>12</v>
      </c>
    </row>
    <row r="2" spans="1:13" x14ac:dyDescent="0.3">
      <c r="A2">
        <v>23</v>
      </c>
      <c r="B2" t="s">
        <v>13</v>
      </c>
      <c r="C2" t="s">
        <v>14</v>
      </c>
      <c r="D2" s="56">
        <v>1</v>
      </c>
      <c r="E2" s="2"/>
      <c r="F2" s="2"/>
      <c r="G2" s="3"/>
      <c r="H2">
        <v>1</v>
      </c>
      <c r="I2" s="3"/>
      <c r="J2" s="3" t="s">
        <v>28</v>
      </c>
      <c r="K2" s="3"/>
      <c r="L2" s="1"/>
      <c r="M2" s="1"/>
    </row>
    <row r="3" spans="1:13" x14ac:dyDescent="0.3">
      <c r="A3">
        <v>23</v>
      </c>
      <c r="B3" t="s">
        <v>13</v>
      </c>
      <c r="C3" t="s">
        <v>15</v>
      </c>
      <c r="D3" s="56">
        <v>2</v>
      </c>
      <c r="E3" s="2"/>
      <c r="F3" s="2"/>
      <c r="G3" s="3"/>
      <c r="H3">
        <v>1</v>
      </c>
      <c r="I3" s="3"/>
      <c r="J3" s="3" t="s">
        <v>28</v>
      </c>
      <c r="K3" s="3"/>
      <c r="L3" s="1"/>
      <c r="M3" s="1"/>
    </row>
    <row r="4" spans="1:13" x14ac:dyDescent="0.3">
      <c r="A4">
        <v>23</v>
      </c>
      <c r="B4" t="s">
        <v>13</v>
      </c>
      <c r="C4" t="s">
        <v>16</v>
      </c>
      <c r="D4" s="56">
        <v>3</v>
      </c>
      <c r="E4" s="2"/>
      <c r="F4" s="2"/>
      <c r="G4" s="3"/>
      <c r="H4">
        <v>1</v>
      </c>
      <c r="I4" s="3"/>
      <c r="J4" s="3" t="s">
        <v>28</v>
      </c>
      <c r="K4" s="3"/>
      <c r="L4" s="1"/>
      <c r="M4" s="1"/>
    </row>
    <row r="5" spans="1:13" x14ac:dyDescent="0.3">
      <c r="A5">
        <v>23</v>
      </c>
      <c r="B5" t="s">
        <v>17</v>
      </c>
      <c r="C5" t="s">
        <v>18</v>
      </c>
      <c r="D5" s="56">
        <v>4</v>
      </c>
      <c r="E5" s="2"/>
      <c r="F5" s="2"/>
      <c r="G5" s="3"/>
      <c r="H5">
        <v>1</v>
      </c>
      <c r="I5" s="3"/>
      <c r="J5" s="3" t="s">
        <v>28</v>
      </c>
      <c r="K5" s="3"/>
      <c r="L5" s="1"/>
      <c r="M5" s="1"/>
    </row>
    <row r="6" spans="1:13" x14ac:dyDescent="0.3">
      <c r="A6">
        <v>23</v>
      </c>
      <c r="B6" t="s">
        <v>17</v>
      </c>
      <c r="C6" t="s">
        <v>19</v>
      </c>
      <c r="D6" s="56">
        <v>5</v>
      </c>
      <c r="E6" s="2"/>
      <c r="F6" s="2"/>
      <c r="G6" s="3"/>
      <c r="H6">
        <v>1</v>
      </c>
      <c r="I6" s="3"/>
      <c r="J6" s="3" t="s">
        <v>28</v>
      </c>
      <c r="K6" s="3"/>
      <c r="L6" s="1"/>
      <c r="M6" s="1"/>
    </row>
    <row r="7" spans="1:13" x14ac:dyDescent="0.3">
      <c r="A7">
        <v>23</v>
      </c>
      <c r="B7" t="s">
        <v>20</v>
      </c>
      <c r="C7" t="s">
        <v>18</v>
      </c>
      <c r="D7" s="56">
        <v>6</v>
      </c>
      <c r="E7" s="2"/>
      <c r="F7" s="2"/>
      <c r="G7" s="3"/>
      <c r="H7">
        <v>1</v>
      </c>
      <c r="I7" s="3"/>
      <c r="J7" s="3" t="s">
        <v>28</v>
      </c>
      <c r="K7" s="3"/>
      <c r="L7" s="1"/>
      <c r="M7" s="1"/>
    </row>
    <row r="8" spans="1:13" x14ac:dyDescent="0.3">
      <c r="A8">
        <v>23</v>
      </c>
      <c r="B8" t="s">
        <v>20</v>
      </c>
      <c r="C8" t="s">
        <v>19</v>
      </c>
      <c r="D8" s="56">
        <v>7</v>
      </c>
      <c r="E8" s="2"/>
      <c r="F8" s="2"/>
      <c r="G8" s="3"/>
      <c r="H8">
        <v>1</v>
      </c>
      <c r="I8" s="3"/>
      <c r="J8" s="3" t="s">
        <v>28</v>
      </c>
      <c r="K8" s="3"/>
      <c r="L8" s="1"/>
      <c r="M8" s="1"/>
    </row>
    <row r="9" spans="1:13" x14ac:dyDescent="0.3">
      <c r="A9">
        <v>23</v>
      </c>
      <c r="B9" t="s">
        <v>21</v>
      </c>
      <c r="C9" t="s">
        <v>18</v>
      </c>
      <c r="D9" s="56">
        <v>8</v>
      </c>
      <c r="E9" s="2"/>
      <c r="F9" s="2"/>
      <c r="G9" s="3"/>
      <c r="H9">
        <v>1</v>
      </c>
      <c r="I9" s="3"/>
      <c r="J9" s="3" t="s">
        <v>28</v>
      </c>
      <c r="K9" s="3"/>
      <c r="L9" s="1"/>
      <c r="M9" s="1"/>
    </row>
    <row r="10" spans="1:13" x14ac:dyDescent="0.3">
      <c r="A10">
        <v>23</v>
      </c>
      <c r="B10" t="s">
        <v>21</v>
      </c>
      <c r="C10" t="s">
        <v>19</v>
      </c>
      <c r="D10" s="56">
        <v>9</v>
      </c>
      <c r="E10" s="2"/>
      <c r="F10" s="2"/>
      <c r="G10" s="3"/>
      <c r="H10">
        <v>1</v>
      </c>
      <c r="I10" s="3"/>
      <c r="J10" s="3" t="s">
        <v>28</v>
      </c>
      <c r="K10" s="3"/>
      <c r="L10" s="1"/>
      <c r="M10" s="1"/>
    </row>
    <row r="11" spans="1:13" x14ac:dyDescent="0.3">
      <c r="A11">
        <v>23</v>
      </c>
      <c r="B11" t="s">
        <v>22</v>
      </c>
      <c r="C11" t="s">
        <v>23</v>
      </c>
      <c r="D11" s="56">
        <v>10</v>
      </c>
      <c r="E11" s="2">
        <v>46023</v>
      </c>
      <c r="F11" s="2">
        <v>46082</v>
      </c>
      <c r="G11" s="3"/>
      <c r="H11">
        <v>1</v>
      </c>
      <c r="I11" s="3"/>
      <c r="J11" s="3" t="s">
        <v>28</v>
      </c>
      <c r="K11" s="3"/>
      <c r="L11" s="1"/>
      <c r="M11" s="1"/>
    </row>
    <row r="12" spans="1:13" x14ac:dyDescent="0.3">
      <c r="A12">
        <v>23</v>
      </c>
      <c r="B12" t="s">
        <v>22</v>
      </c>
      <c r="C12" t="s">
        <v>24</v>
      </c>
      <c r="D12" s="56">
        <v>11</v>
      </c>
      <c r="E12" s="2">
        <v>46113</v>
      </c>
      <c r="F12" s="2">
        <v>46113</v>
      </c>
      <c r="G12" s="3">
        <v>46142</v>
      </c>
      <c r="H12">
        <v>1</v>
      </c>
      <c r="I12" s="3"/>
      <c r="J12" s="3" t="s">
        <v>28</v>
      </c>
      <c r="K12" s="3"/>
      <c r="L12" s="1"/>
      <c r="M12" s="1"/>
    </row>
    <row r="13" spans="1:13" x14ac:dyDescent="0.3">
      <c r="A13">
        <v>23</v>
      </c>
      <c r="B13" t="s">
        <v>22</v>
      </c>
      <c r="C13" t="s">
        <v>25</v>
      </c>
      <c r="D13" s="56">
        <v>12</v>
      </c>
      <c r="E13" s="2"/>
      <c r="F13" s="2"/>
      <c r="G13" s="3"/>
      <c r="H13">
        <v>0</v>
      </c>
      <c r="I13" s="3"/>
      <c r="J13" s="3" t="s">
        <v>29</v>
      </c>
      <c r="K13" s="3"/>
      <c r="L13" s="1"/>
      <c r="M13" s="1"/>
    </row>
    <row r="14" spans="1:13" x14ac:dyDescent="0.3">
      <c r="A14">
        <v>24</v>
      </c>
      <c r="B14" t="s">
        <v>13</v>
      </c>
      <c r="C14" t="s">
        <v>14</v>
      </c>
      <c r="D14" s="56">
        <v>1</v>
      </c>
      <c r="E14" s="2"/>
      <c r="F14" s="2"/>
      <c r="G14" s="3"/>
      <c r="H14">
        <v>1</v>
      </c>
      <c r="I14" s="3"/>
      <c r="J14" s="3" t="s">
        <v>28</v>
      </c>
      <c r="K14" s="3"/>
      <c r="L14" s="1"/>
      <c r="M14" s="1"/>
    </row>
    <row r="15" spans="1:13" x14ac:dyDescent="0.3">
      <c r="A15">
        <v>24</v>
      </c>
      <c r="B15" t="s">
        <v>13</v>
      </c>
      <c r="C15" t="s">
        <v>15</v>
      </c>
      <c r="D15" s="56">
        <v>2</v>
      </c>
      <c r="E15" s="2">
        <v>46174</v>
      </c>
      <c r="F15" s="2">
        <v>46174</v>
      </c>
      <c r="G15" s="3">
        <v>46198</v>
      </c>
      <c r="H15">
        <v>1</v>
      </c>
      <c r="I15" s="3"/>
      <c r="J15" s="3" t="s">
        <v>28</v>
      </c>
      <c r="K15" s="3"/>
      <c r="L15" s="1"/>
      <c r="M15" s="1"/>
    </row>
    <row r="16" spans="1:13" x14ac:dyDescent="0.3">
      <c r="A16">
        <v>24</v>
      </c>
      <c r="B16" t="s">
        <v>13</v>
      </c>
      <c r="C16" t="s">
        <v>16</v>
      </c>
      <c r="D16" s="56">
        <v>3</v>
      </c>
      <c r="E16" s="2">
        <v>46266</v>
      </c>
      <c r="F16" s="2">
        <v>46266</v>
      </c>
      <c r="G16" s="3"/>
      <c r="H16">
        <v>0</v>
      </c>
      <c r="I16" s="3"/>
      <c r="J16" s="3" t="s">
        <v>29</v>
      </c>
      <c r="K16" s="3"/>
      <c r="L16" s="1"/>
      <c r="M16" s="1"/>
    </row>
    <row r="17" spans="1:13" x14ac:dyDescent="0.3">
      <c r="A17">
        <v>24</v>
      </c>
      <c r="B17" t="s">
        <v>17</v>
      </c>
      <c r="C17" t="s">
        <v>18</v>
      </c>
      <c r="D17" s="56">
        <v>4</v>
      </c>
      <c r="E17" s="2">
        <v>46054</v>
      </c>
      <c r="F17" s="2">
        <v>46235</v>
      </c>
      <c r="G17" s="3">
        <v>46132</v>
      </c>
      <c r="H17">
        <v>1</v>
      </c>
      <c r="I17" s="3"/>
      <c r="J17" s="3" t="s">
        <v>28</v>
      </c>
      <c r="K17" s="3"/>
      <c r="L17" s="1"/>
      <c r="M17" s="1"/>
    </row>
    <row r="18" spans="1:13" x14ac:dyDescent="0.3">
      <c r="A18">
        <v>24</v>
      </c>
      <c r="B18" t="s">
        <v>17</v>
      </c>
      <c r="C18" t="s">
        <v>19</v>
      </c>
      <c r="D18" s="56">
        <v>5</v>
      </c>
      <c r="E18" s="2"/>
      <c r="F18" s="2"/>
      <c r="G18" s="3"/>
      <c r="H18">
        <v>1</v>
      </c>
      <c r="I18" s="3"/>
      <c r="J18" s="3" t="s">
        <v>28</v>
      </c>
      <c r="K18" s="3"/>
      <c r="L18" s="1"/>
      <c r="M18" s="1"/>
    </row>
    <row r="19" spans="1:13" x14ac:dyDescent="0.3">
      <c r="A19">
        <v>24</v>
      </c>
      <c r="B19" t="s">
        <v>20</v>
      </c>
      <c r="C19" t="s">
        <v>18</v>
      </c>
      <c r="D19" s="56">
        <v>6</v>
      </c>
      <c r="E19" s="2"/>
      <c r="F19" s="2"/>
      <c r="G19" s="3"/>
      <c r="H19">
        <v>1</v>
      </c>
      <c r="I19" s="3"/>
      <c r="J19" s="3" t="s">
        <v>28</v>
      </c>
      <c r="K19" s="3"/>
      <c r="L19" s="1"/>
      <c r="M19" s="1"/>
    </row>
    <row r="20" spans="1:13" x14ac:dyDescent="0.3">
      <c r="A20">
        <v>24</v>
      </c>
      <c r="B20" t="s">
        <v>20</v>
      </c>
      <c r="C20" t="s">
        <v>19</v>
      </c>
      <c r="D20" s="56">
        <v>7</v>
      </c>
      <c r="E20" s="2"/>
      <c r="F20" s="2"/>
      <c r="G20" s="3"/>
      <c r="H20">
        <v>1</v>
      </c>
      <c r="I20" s="3"/>
      <c r="J20" s="3" t="s">
        <v>28</v>
      </c>
      <c r="K20" s="3"/>
      <c r="L20" s="1"/>
      <c r="M20" s="1"/>
    </row>
    <row r="21" spans="1:13" x14ac:dyDescent="0.3">
      <c r="A21">
        <v>24</v>
      </c>
      <c r="B21" t="s">
        <v>21</v>
      </c>
      <c r="C21" t="s">
        <v>18</v>
      </c>
      <c r="D21" s="56">
        <v>8</v>
      </c>
      <c r="E21" s="2">
        <v>46266</v>
      </c>
      <c r="F21" s="2">
        <v>46327</v>
      </c>
      <c r="G21" s="3"/>
      <c r="H21">
        <v>0</v>
      </c>
      <c r="I21" s="3"/>
      <c r="J21" s="3" t="s">
        <v>29</v>
      </c>
      <c r="K21" s="3"/>
      <c r="L21" s="1"/>
      <c r="M21" s="1"/>
    </row>
    <row r="22" spans="1:13" x14ac:dyDescent="0.3">
      <c r="A22">
        <v>24</v>
      </c>
      <c r="B22" t="s">
        <v>21</v>
      </c>
      <c r="C22" t="s">
        <v>19</v>
      </c>
      <c r="D22" s="56">
        <v>9</v>
      </c>
      <c r="E22" s="2">
        <v>46357</v>
      </c>
      <c r="F22" s="2">
        <v>46357</v>
      </c>
      <c r="G22" s="3"/>
      <c r="H22">
        <v>0</v>
      </c>
      <c r="I22" s="3"/>
      <c r="J22" s="3" t="s">
        <v>29</v>
      </c>
      <c r="K22" s="3"/>
      <c r="L22" s="1"/>
      <c r="M22" s="1"/>
    </row>
    <row r="23" spans="1:13" x14ac:dyDescent="0.3">
      <c r="A23">
        <v>24</v>
      </c>
      <c r="B23" t="s">
        <v>22</v>
      </c>
      <c r="C23" t="s">
        <v>23</v>
      </c>
      <c r="D23" s="56">
        <v>10</v>
      </c>
      <c r="E23" s="2"/>
      <c r="F23" s="2"/>
      <c r="G23" s="3"/>
      <c r="H23">
        <v>0</v>
      </c>
      <c r="I23" s="3"/>
      <c r="J23" s="3" t="s">
        <v>29</v>
      </c>
      <c r="K23" s="3"/>
      <c r="L23" s="1"/>
      <c r="M23" s="1"/>
    </row>
    <row r="24" spans="1:13" x14ac:dyDescent="0.3">
      <c r="A24">
        <v>24</v>
      </c>
      <c r="B24" t="s">
        <v>22</v>
      </c>
      <c r="C24" t="s">
        <v>24</v>
      </c>
      <c r="D24" s="56">
        <v>11</v>
      </c>
      <c r="E24" s="2"/>
      <c r="F24" s="2"/>
      <c r="G24" s="3"/>
      <c r="H24">
        <v>0</v>
      </c>
      <c r="I24" s="3"/>
      <c r="J24" s="3" t="s">
        <v>29</v>
      </c>
      <c r="K24" s="3"/>
      <c r="L24" s="1"/>
      <c r="M24" s="1"/>
    </row>
    <row r="25" spans="1:13" x14ac:dyDescent="0.3">
      <c r="A25">
        <v>24</v>
      </c>
      <c r="B25" t="s">
        <v>22</v>
      </c>
      <c r="C25" t="s">
        <v>25</v>
      </c>
      <c r="D25" s="56">
        <v>12</v>
      </c>
      <c r="E25" s="2"/>
      <c r="F25" s="2"/>
      <c r="G25" s="3"/>
      <c r="H25">
        <v>0</v>
      </c>
      <c r="I25" s="3"/>
      <c r="J25" s="3" t="s">
        <v>29</v>
      </c>
      <c r="K25" s="3"/>
      <c r="L25" s="1"/>
      <c r="M25" s="1"/>
    </row>
    <row r="26" spans="1:13" x14ac:dyDescent="0.3">
      <c r="A26" s="40">
        <v>26</v>
      </c>
      <c r="B26" s="40" t="s">
        <v>13</v>
      </c>
      <c r="C26" s="40" t="s">
        <v>15</v>
      </c>
      <c r="D26" s="57">
        <f>IF(CHECKLIST!H11&lt;&gt;"",CHECKLIST!H11,"")</f>
        <v>4</v>
      </c>
      <c r="E26" s="58">
        <v>46296</v>
      </c>
      <c r="F26" s="58">
        <v>46296</v>
      </c>
      <c r="G26" s="59" t="str">
        <f>IF(CHECKLIST!Y11&lt;&gt;"",CHECKLIST!Y11,"")</f>
        <v/>
      </c>
      <c r="H26" s="40">
        <f>IF(CHECKLIST!U11,1,0)</f>
        <v>0</v>
      </c>
      <c r="I26" s="59" t="str">
        <f>IF(CHECKLIST!AB11&lt;&gt;"",CHECKLIST!AB11,"")</f>
        <v/>
      </c>
      <c r="J26" s="59" t="str">
        <f ca="1">CHECKLIST!Z11</f>
        <v>NOT STARTED</v>
      </c>
      <c r="K26" s="59" t="str">
        <f>IF(CHECKLIST!AC11&lt;&gt;"",CHECKLIST!AC11,"")</f>
        <v/>
      </c>
      <c r="L26" s="60">
        <v>46219</v>
      </c>
      <c r="M26" s="60">
        <v>46219</v>
      </c>
    </row>
    <row r="27" spans="1:13" x14ac:dyDescent="0.3">
      <c r="A27" s="40">
        <v>26</v>
      </c>
      <c r="B27" s="40" t="s">
        <v>20</v>
      </c>
      <c r="C27" s="40" t="s">
        <v>18</v>
      </c>
      <c r="D27" s="57">
        <f>IF(CHECKLIST!H12&lt;&gt;"",CHECKLIST!H12,"")</f>
        <v>11</v>
      </c>
      <c r="E27" s="58">
        <v>46235</v>
      </c>
      <c r="F27" s="58">
        <v>46296</v>
      </c>
      <c r="G27" s="59" t="str">
        <f>IF(CHECKLIST!Y12&lt;&gt;"",CHECKLIST!Y12,"")</f>
        <v/>
      </c>
      <c r="H27" s="40">
        <f>IF(CHECKLIST!U12,1,0)</f>
        <v>0</v>
      </c>
      <c r="I27" s="59" t="str">
        <f>IF(CHECKLIST!AB12&lt;&gt;"",CHECKLIST!AB12,"")</f>
        <v/>
      </c>
      <c r="J27" s="59" t="str">
        <f ca="1">CHECKLIST!Z12</f>
        <v>BEHIND</v>
      </c>
      <c r="K27" s="59" t="str">
        <f>IF(CHECKLIST!AC12&lt;&gt;"",CHECKLIST!AC12,"")</f>
        <v/>
      </c>
      <c r="L27" s="60">
        <v>46219</v>
      </c>
      <c r="M27" s="60">
        <v>46219</v>
      </c>
    </row>
    <row r="28" spans="1:13" x14ac:dyDescent="0.3">
      <c r="A28" s="40">
        <v>26</v>
      </c>
      <c r="B28" s="40" t="s">
        <v>20</v>
      </c>
      <c r="C28" s="40" t="s">
        <v>19</v>
      </c>
      <c r="D28" s="57">
        <f>IF(CHECKLIST!H13&lt;&gt;"",CHECKLIST!H13,"")</f>
        <v>12</v>
      </c>
      <c r="E28" s="58">
        <v>46327</v>
      </c>
      <c r="F28" s="58">
        <v>46357</v>
      </c>
      <c r="G28" s="59" t="str">
        <f>IF(CHECKLIST!Y13&lt;&gt;"",CHECKLIST!Y13,"")</f>
        <v/>
      </c>
      <c r="H28" s="40">
        <f>IF(CHECKLIST!U13,1,0)</f>
        <v>0</v>
      </c>
      <c r="I28" s="59" t="str">
        <f>IF(CHECKLIST!AB13&lt;&gt;"",CHECKLIST!AB13,"")</f>
        <v/>
      </c>
      <c r="J28" s="59" t="str">
        <f ca="1">CHECKLIST!Z13</f>
        <v>NOT STARTED</v>
      </c>
      <c r="K28" s="59" t="str">
        <f>IF(CHECKLIST!AC13&lt;&gt;"",CHECKLIST!AC13,"")</f>
        <v/>
      </c>
      <c r="L28" s="60">
        <v>46219</v>
      </c>
      <c r="M28" s="60">
        <v>46219</v>
      </c>
    </row>
    <row r="29" spans="1:13" x14ac:dyDescent="0.3">
      <c r="A29" s="40">
        <v>73</v>
      </c>
      <c r="B29" s="40" t="s">
        <v>21</v>
      </c>
      <c r="C29" s="40" t="s">
        <v>18</v>
      </c>
      <c r="D29" s="57">
        <f>IF(CHECKLIST!H14&lt;&gt;"",CHECKLIST!H14,"")</f>
        <v>7</v>
      </c>
      <c r="E29" s="58">
        <v>46174</v>
      </c>
      <c r="F29" s="58">
        <v>46266</v>
      </c>
      <c r="G29" s="59">
        <f>IF(CHECKLIST!Y14&lt;&gt;"",CHECKLIST!Y14,"")</f>
        <v>46178</v>
      </c>
      <c r="H29" s="40">
        <f>IF(CHECKLIST!U14,1,0)</f>
        <v>1</v>
      </c>
      <c r="I29" s="59" t="str">
        <f>IF(CHECKLIST!AB14&lt;&gt;"",CHECKLIST!AB14,"")</f>
        <v>27/65/DPAN-GPAN1/M.01/B</v>
      </c>
      <c r="J29" s="59" t="str">
        <f ca="1">CHECKLIST!Z14</f>
        <v>ON TRACK</v>
      </c>
      <c r="K29" s="59" t="str">
        <f>IF(CHECKLIST!AC14&lt;&gt;"",CHECKLIST!AC14,"")</f>
        <v/>
      </c>
      <c r="L29" s="60">
        <v>46219</v>
      </c>
      <c r="M29" s="60">
        <v>46219</v>
      </c>
    </row>
    <row r="30" spans="1:13" x14ac:dyDescent="0.3">
      <c r="A30" s="40">
        <v>73</v>
      </c>
      <c r="B30" s="40" t="s">
        <v>21</v>
      </c>
      <c r="C30" s="40" t="s">
        <v>19</v>
      </c>
      <c r="D30" s="57">
        <f>IF(CHECKLIST!H15&lt;&gt;"",CHECKLIST!H15,"")</f>
        <v>8</v>
      </c>
      <c r="E30" s="58">
        <v>46296</v>
      </c>
      <c r="F30" s="58">
        <v>46296</v>
      </c>
      <c r="G30" s="59" t="str">
        <f>IF(CHECKLIST!Y15&lt;&gt;"",CHECKLIST!Y15,"")</f>
        <v/>
      </c>
      <c r="H30" s="40">
        <f>IF(CHECKLIST!U15,1,0)</f>
        <v>1</v>
      </c>
      <c r="I30" s="59" t="str">
        <f>IF(CHECKLIST!AB15&lt;&gt;"",CHECKLIST!AB15,"")</f>
        <v/>
      </c>
      <c r="J30" s="59" t="str">
        <f ca="1">CHECKLIST!Z15</f>
        <v>AHEAD</v>
      </c>
      <c r="K30" s="59" t="str">
        <f>IF(CHECKLIST!AC15&lt;&gt;"",CHECKLIST!AC15,"")</f>
        <v>Adendum kontrak payung Tahap 2A</v>
      </c>
      <c r="L30" s="60">
        <v>46219</v>
      </c>
      <c r="M30" s="60">
        <v>46219</v>
      </c>
    </row>
    <row r="31" spans="1:13" x14ac:dyDescent="0.3">
      <c r="A31" s="40">
        <v>73</v>
      </c>
      <c r="B31" s="40" t="s">
        <v>22</v>
      </c>
      <c r="C31" s="40" t="s">
        <v>30</v>
      </c>
      <c r="D31" s="57">
        <f>IF(CHECKLIST!H16&lt;&gt;"",CHECKLIST!H16,"")</f>
        <v>1</v>
      </c>
      <c r="E31" s="58">
        <v>46327</v>
      </c>
      <c r="F31" s="58">
        <v>46327</v>
      </c>
      <c r="G31" s="59" t="str">
        <f>IF(CHECKLIST!Y16&lt;&gt;"",CHECKLIST!Y16,"")</f>
        <v/>
      </c>
      <c r="H31" s="40">
        <f>IF(CHECKLIST!U16,1,0)</f>
        <v>0</v>
      </c>
      <c r="I31" s="59" t="str">
        <f>IF(CHECKLIST!AB16&lt;&gt;"",CHECKLIST!AB16,"")</f>
        <v/>
      </c>
      <c r="J31" s="59" t="str">
        <f ca="1">CHECKLIST!Z16</f>
        <v>NOT STARTED</v>
      </c>
      <c r="K31" s="59" t="str">
        <f>IF(CHECKLIST!AC16&lt;&gt;"",CHECKLIST!AC16,"")</f>
        <v/>
      </c>
      <c r="L31" s="60">
        <v>46219</v>
      </c>
      <c r="M31" s="60">
        <v>46219</v>
      </c>
    </row>
    <row r="32" spans="1:13" x14ac:dyDescent="0.3">
      <c r="A32" s="40">
        <v>73</v>
      </c>
      <c r="B32" s="40" t="s">
        <v>22</v>
      </c>
      <c r="C32" s="40" t="s">
        <v>24</v>
      </c>
      <c r="D32" s="57">
        <f>IF(CHECKLIST!H17&lt;&gt;"",CHECKLIST!H17,"")</f>
        <v>2</v>
      </c>
      <c r="E32" s="58">
        <v>46357</v>
      </c>
      <c r="F32" s="58">
        <v>46357</v>
      </c>
      <c r="G32" s="59" t="str">
        <f>IF(CHECKLIST!Y17&lt;&gt;"",CHECKLIST!Y17,"")</f>
        <v/>
      </c>
      <c r="H32" s="40">
        <f>IF(CHECKLIST!U17,1,0)</f>
        <v>0</v>
      </c>
      <c r="I32" s="59" t="str">
        <f>IF(CHECKLIST!AB17&lt;&gt;"",CHECKLIST!AB17,"")</f>
        <v/>
      </c>
      <c r="J32" s="59" t="str">
        <f ca="1">CHECKLIST!Z17</f>
        <v>NOT STARTED</v>
      </c>
      <c r="K32" s="59" t="str">
        <f>IF(CHECKLIST!AC17&lt;&gt;"",CHECKLIST!AC17,"")</f>
        <v/>
      </c>
      <c r="L32" s="60">
        <v>46219</v>
      </c>
      <c r="M32" s="60">
        <v>46219</v>
      </c>
    </row>
    <row r="33" spans="1:13" x14ac:dyDescent="0.3">
      <c r="A33">
        <v>34</v>
      </c>
      <c r="B33" t="s">
        <v>13</v>
      </c>
      <c r="C33" t="s">
        <v>14</v>
      </c>
      <c r="D33" s="56">
        <v>1</v>
      </c>
      <c r="E33" s="2"/>
      <c r="F33" s="2"/>
      <c r="G33" s="3"/>
      <c r="H33">
        <v>1</v>
      </c>
      <c r="I33" s="3"/>
      <c r="J33" s="3" t="s">
        <v>28</v>
      </c>
      <c r="K33" s="3"/>
      <c r="L33" s="1"/>
      <c r="M33" s="1"/>
    </row>
    <row r="34" spans="1:13" x14ac:dyDescent="0.3">
      <c r="A34">
        <v>34</v>
      </c>
      <c r="B34" t="s">
        <v>13</v>
      </c>
      <c r="C34" t="s">
        <v>15</v>
      </c>
      <c r="D34" s="56">
        <v>2</v>
      </c>
      <c r="E34" s="2"/>
      <c r="F34" s="2"/>
      <c r="G34" s="3"/>
      <c r="H34">
        <v>1</v>
      </c>
      <c r="I34" s="3"/>
      <c r="J34" s="3" t="s">
        <v>28</v>
      </c>
      <c r="K34" s="3"/>
      <c r="L34" s="1"/>
      <c r="M34" s="1"/>
    </row>
    <row r="35" spans="1:13" x14ac:dyDescent="0.3">
      <c r="A35">
        <v>34</v>
      </c>
      <c r="B35" t="s">
        <v>13</v>
      </c>
      <c r="C35" t="s">
        <v>16</v>
      </c>
      <c r="D35" s="56">
        <v>3</v>
      </c>
      <c r="E35" s="2"/>
      <c r="F35" s="2"/>
      <c r="G35" s="3"/>
      <c r="H35">
        <v>1</v>
      </c>
      <c r="I35" s="3"/>
      <c r="J35" s="3" t="s">
        <v>28</v>
      </c>
      <c r="K35" s="3"/>
      <c r="L35" s="1"/>
      <c r="M35" s="1"/>
    </row>
    <row r="36" spans="1:13" x14ac:dyDescent="0.3">
      <c r="A36">
        <v>34</v>
      </c>
      <c r="B36" t="s">
        <v>17</v>
      </c>
      <c r="C36" t="s">
        <v>18</v>
      </c>
      <c r="D36" s="56">
        <v>4</v>
      </c>
      <c r="E36" s="2"/>
      <c r="F36" s="2"/>
      <c r="G36" s="3"/>
      <c r="H36">
        <v>1</v>
      </c>
      <c r="I36" s="3"/>
      <c r="J36" s="3" t="s">
        <v>28</v>
      </c>
      <c r="K36" s="3"/>
      <c r="L36" s="1"/>
      <c r="M36" s="1"/>
    </row>
    <row r="37" spans="1:13" x14ac:dyDescent="0.3">
      <c r="A37">
        <v>34</v>
      </c>
      <c r="B37" t="s">
        <v>17</v>
      </c>
      <c r="C37" t="s">
        <v>19</v>
      </c>
      <c r="D37" s="56">
        <v>5</v>
      </c>
      <c r="E37" s="2"/>
      <c r="F37" s="2"/>
      <c r="G37" s="3"/>
      <c r="H37">
        <v>1</v>
      </c>
      <c r="I37" s="3"/>
      <c r="J37" s="3" t="s">
        <v>28</v>
      </c>
      <c r="K37" s="3"/>
      <c r="L37" s="1"/>
      <c r="M37" s="1"/>
    </row>
    <row r="38" spans="1:13" x14ac:dyDescent="0.3">
      <c r="A38">
        <v>34</v>
      </c>
      <c r="B38" t="s">
        <v>20</v>
      </c>
      <c r="C38" t="s">
        <v>18</v>
      </c>
      <c r="D38" s="56">
        <v>6</v>
      </c>
      <c r="E38" s="2"/>
      <c r="F38" s="2"/>
      <c r="G38" s="3"/>
      <c r="H38">
        <v>1</v>
      </c>
      <c r="I38" s="3"/>
      <c r="J38" s="3" t="s">
        <v>28</v>
      </c>
      <c r="K38" s="3"/>
      <c r="L38" s="1"/>
      <c r="M38" s="1"/>
    </row>
    <row r="39" spans="1:13" x14ac:dyDescent="0.3">
      <c r="A39">
        <v>34</v>
      </c>
      <c r="B39" t="s">
        <v>20</v>
      </c>
      <c r="C39" t="s">
        <v>19</v>
      </c>
      <c r="D39" s="56">
        <v>7</v>
      </c>
      <c r="E39" s="2"/>
      <c r="F39" s="2"/>
      <c r="G39" s="3"/>
      <c r="H39">
        <v>1</v>
      </c>
      <c r="I39" s="3"/>
      <c r="J39" s="3" t="s">
        <v>28</v>
      </c>
      <c r="K39" s="3"/>
      <c r="L39" s="1"/>
      <c r="M39" s="1"/>
    </row>
    <row r="40" spans="1:13" x14ac:dyDescent="0.3">
      <c r="A40">
        <v>34</v>
      </c>
      <c r="B40" t="s">
        <v>21</v>
      </c>
      <c r="C40" t="s">
        <v>18</v>
      </c>
      <c r="D40" s="56">
        <v>8</v>
      </c>
      <c r="E40" s="2"/>
      <c r="F40" s="2"/>
      <c r="G40" s="3"/>
      <c r="H40">
        <v>1</v>
      </c>
      <c r="I40" s="3"/>
      <c r="J40" s="3" t="s">
        <v>28</v>
      </c>
      <c r="K40" s="3"/>
      <c r="L40" s="1"/>
      <c r="M40" s="1"/>
    </row>
    <row r="41" spans="1:13" x14ac:dyDescent="0.3">
      <c r="A41">
        <v>34</v>
      </c>
      <c r="B41" t="s">
        <v>21</v>
      </c>
      <c r="C41" t="s">
        <v>19</v>
      </c>
      <c r="D41" s="56">
        <v>9</v>
      </c>
      <c r="E41" s="2"/>
      <c r="F41" s="2"/>
      <c r="G41" s="3"/>
      <c r="H41">
        <v>1</v>
      </c>
      <c r="I41" s="3"/>
      <c r="J41" s="3" t="s">
        <v>28</v>
      </c>
      <c r="K41" s="3"/>
      <c r="L41" s="1"/>
      <c r="M41" s="1"/>
    </row>
    <row r="42" spans="1:13" x14ac:dyDescent="0.3">
      <c r="A42">
        <v>34</v>
      </c>
      <c r="B42" t="s">
        <v>22</v>
      </c>
      <c r="C42" t="s">
        <v>23</v>
      </c>
      <c r="D42" s="56">
        <v>10</v>
      </c>
      <c r="E42" s="2">
        <v>46023</v>
      </c>
      <c r="F42" s="2">
        <v>46327</v>
      </c>
      <c r="G42" s="3"/>
      <c r="H42">
        <v>1</v>
      </c>
      <c r="I42" s="3"/>
      <c r="J42" s="3" t="s">
        <v>28</v>
      </c>
      <c r="K42" s="3"/>
      <c r="L42" s="1"/>
      <c r="M42" s="1"/>
    </row>
    <row r="43" spans="1:13" x14ac:dyDescent="0.3">
      <c r="A43">
        <v>34</v>
      </c>
      <c r="B43" t="s">
        <v>22</v>
      </c>
      <c r="C43" t="s">
        <v>24</v>
      </c>
      <c r="D43" s="56">
        <v>11</v>
      </c>
      <c r="E43" s="2">
        <v>46357</v>
      </c>
      <c r="F43" s="2">
        <v>46357</v>
      </c>
      <c r="G43" s="3"/>
      <c r="H43">
        <v>0</v>
      </c>
      <c r="I43" s="3"/>
      <c r="J43" s="3" t="s">
        <v>29</v>
      </c>
      <c r="K43" s="3"/>
      <c r="L43" s="1"/>
      <c r="M43" s="1"/>
    </row>
    <row r="44" spans="1:13" x14ac:dyDescent="0.3">
      <c r="A44">
        <v>34</v>
      </c>
      <c r="B44" t="s">
        <v>22</v>
      </c>
      <c r="C44" t="s">
        <v>25</v>
      </c>
      <c r="D44" s="56">
        <v>12</v>
      </c>
      <c r="E44" s="2"/>
      <c r="F44" s="2"/>
      <c r="G44" s="3"/>
      <c r="H44">
        <v>0</v>
      </c>
      <c r="I44" s="3"/>
      <c r="J44" s="3" t="s">
        <v>29</v>
      </c>
      <c r="K44" s="3"/>
      <c r="L44" s="1"/>
      <c r="M44" s="1"/>
    </row>
    <row r="45" spans="1:13" x14ac:dyDescent="0.3">
      <c r="A45">
        <v>20</v>
      </c>
      <c r="B45" t="s">
        <v>13</v>
      </c>
      <c r="C45" t="s">
        <v>14</v>
      </c>
      <c r="D45" s="56">
        <f>IF(CHECKLIST!H21&lt;&gt;"",CHECKLIST!H21,"")</f>
        <v>5</v>
      </c>
      <c r="E45" s="2">
        <v>46174</v>
      </c>
      <c r="F45" s="2">
        <v>46174</v>
      </c>
      <c r="G45" s="3">
        <f>IF(CHECKLIST!Y21&lt;&gt;"",CHECKLIST!Y21,"")</f>
        <v>46212</v>
      </c>
      <c r="H45">
        <f>IF(CHECKLIST!U21,1,0)</f>
        <v>1</v>
      </c>
      <c r="I45" s="3" t="str">
        <f>IF(CHECKLIST!AB21&lt;&gt;"",CHECKLIST!AB21,"")</f>
        <v/>
      </c>
      <c r="J45" s="3" t="str">
        <f ca="1">CHECKLIST!Z21</f>
        <v>ON TRACK</v>
      </c>
      <c r="K45" s="3" t="str">
        <f>IF(CHECKLIST!AC21&lt;&gt;"",CHECKLIST!AC21,"")</f>
        <v>RBT akan sama dengan fasos dan cafetaria</v>
      </c>
      <c r="L45" s="1">
        <v>46219</v>
      </c>
      <c r="M45" s="1">
        <v>46219</v>
      </c>
    </row>
    <row r="46" spans="1:13" x14ac:dyDescent="0.3">
      <c r="A46">
        <v>20</v>
      </c>
      <c r="B46" t="s">
        <v>13</v>
      </c>
      <c r="C46" t="s">
        <v>15</v>
      </c>
      <c r="D46" s="56">
        <f>IF(CHECKLIST!H22&lt;&gt;"",CHECKLIST!H22,"")</f>
        <v>4</v>
      </c>
      <c r="E46" s="2">
        <v>46266</v>
      </c>
      <c r="F46" s="2">
        <v>46266</v>
      </c>
      <c r="G46" s="3">
        <f>IF(CHECKLIST!Y22&lt;&gt;"",CHECKLIST!Y22,"")</f>
        <v>46231</v>
      </c>
      <c r="H46">
        <f>IF(CHECKLIST!U22,1,0)</f>
        <v>1</v>
      </c>
      <c r="I46" s="3" t="str">
        <f>IF(CHECKLIST!AB22&lt;&gt;"",CHECKLIST!AB22,"")</f>
        <v/>
      </c>
      <c r="J46" s="3" t="str">
        <f ca="1">CHECKLIST!Z22</f>
        <v>ON TRACK</v>
      </c>
      <c r="K46" s="3" t="str">
        <f>IF(CHECKLIST!AC22&lt;&gt;"",CHECKLIST!AC22,"")</f>
        <v/>
      </c>
      <c r="L46" s="1">
        <v>46219</v>
      </c>
      <c r="M46" s="1">
        <v>46219</v>
      </c>
    </row>
    <row r="47" spans="1:13" x14ac:dyDescent="0.3">
      <c r="A47">
        <v>20</v>
      </c>
      <c r="B47" t="s">
        <v>13</v>
      </c>
      <c r="C47" t="s">
        <v>16</v>
      </c>
      <c r="D47" s="56">
        <f>IF(CHECKLIST!H23&lt;&gt;"",CHECKLIST!H23,"")</f>
        <v>6</v>
      </c>
      <c r="E47" s="2">
        <v>46296</v>
      </c>
      <c r="F47" s="2">
        <v>46296</v>
      </c>
      <c r="G47" s="3" t="str">
        <f>IF(CHECKLIST!Y23&lt;&gt;"",CHECKLIST!Y23,"")</f>
        <v/>
      </c>
      <c r="H47">
        <f>IF(CHECKLIST!U23,1,0)</f>
        <v>0</v>
      </c>
      <c r="I47" s="3" t="str">
        <f>IF(CHECKLIST!AB23&lt;&gt;"",CHECKLIST!AB23,"")</f>
        <v/>
      </c>
      <c r="J47" s="3" t="str">
        <f ca="1">CHECKLIST!Z23</f>
        <v>NOT STARTED</v>
      </c>
      <c r="K47" s="3" t="str">
        <f>IF(CHECKLIST!AC23&lt;&gt;"",CHECKLIST!AC23,"")</f>
        <v/>
      </c>
      <c r="L47" s="1">
        <v>46219</v>
      </c>
      <c r="M47" s="1">
        <v>46219</v>
      </c>
    </row>
    <row r="48" spans="1:13" x14ac:dyDescent="0.3">
      <c r="A48">
        <v>20</v>
      </c>
      <c r="B48" t="s">
        <v>20</v>
      </c>
      <c r="C48" t="s">
        <v>18</v>
      </c>
      <c r="D48" s="56">
        <f>IF(CHECKLIST!H24&lt;&gt;"",CHECKLIST!H24,"")</f>
        <v>11</v>
      </c>
      <c r="E48" s="2">
        <v>46143</v>
      </c>
      <c r="F48" s="2">
        <v>46204</v>
      </c>
      <c r="G48" s="3">
        <f>IF(CHECKLIST!Y24&lt;&gt;"",CHECKLIST!Y24,"")</f>
        <v>46122</v>
      </c>
      <c r="H48">
        <f>IF(CHECKLIST!U24,1,0)</f>
        <v>1</v>
      </c>
      <c r="I48" s="3" t="str">
        <f>IF(CHECKLIST!AB24&lt;&gt;"",CHECKLIST!AB24,"")</f>
        <v>28/62/DPAN-GPAN1/M.01/B</v>
      </c>
      <c r="J48" s="3" t="str">
        <f ca="1">CHECKLIST!Z24</f>
        <v>ON TRACK</v>
      </c>
      <c r="K48" s="3" t="str">
        <f>IF(CHECKLIST!AC24&lt;&gt;"",CHECKLIST!AC24,"")</f>
        <v>Gabung Fasos &amp; Gd. E</v>
      </c>
      <c r="L48" s="1">
        <v>46219</v>
      </c>
      <c r="M48" s="1">
        <v>46219</v>
      </c>
    </row>
    <row r="49" spans="1:13" x14ac:dyDescent="0.3">
      <c r="A49">
        <v>20</v>
      </c>
      <c r="B49" t="s">
        <v>21</v>
      </c>
      <c r="C49" t="s">
        <v>18</v>
      </c>
      <c r="D49" s="56">
        <f>IF(CHECKLIST!H25&lt;&gt;"",CHECKLIST!H25,"")</f>
        <v>7</v>
      </c>
      <c r="E49" s="2">
        <v>46296</v>
      </c>
      <c r="F49" s="2">
        <v>46357</v>
      </c>
      <c r="G49" s="3" t="str">
        <f>IF(CHECKLIST!Y25&lt;&gt;"",CHECKLIST!Y25,"")</f>
        <v/>
      </c>
      <c r="H49">
        <f>IF(CHECKLIST!U25,1,0)</f>
        <v>0</v>
      </c>
      <c r="I49" s="3" t="str">
        <f>IF(CHECKLIST!AB25&lt;&gt;"",CHECKLIST!AB25,"")</f>
        <v/>
      </c>
      <c r="J49" s="3" t="str">
        <f ca="1">CHECKLIST!Z25</f>
        <v>NOT STARTED</v>
      </c>
      <c r="K49" s="3" t="str">
        <f>IF(CHECKLIST!AC25&lt;&gt;"",CHECKLIST!AC25,"")</f>
        <v/>
      </c>
      <c r="L49" s="1">
        <v>46219</v>
      </c>
      <c r="M49" s="1">
        <v>46219</v>
      </c>
    </row>
    <row r="50" spans="1:13" x14ac:dyDescent="0.3">
      <c r="A50">
        <v>20</v>
      </c>
      <c r="B50" t="s">
        <v>17</v>
      </c>
      <c r="C50" t="s">
        <v>19</v>
      </c>
      <c r="D50" s="56">
        <f>IF(CHECKLIST!H26&lt;&gt;"",CHECKLIST!H26,"")</f>
        <v>10</v>
      </c>
      <c r="E50" s="2">
        <v>46113</v>
      </c>
      <c r="F50" s="2">
        <v>46296</v>
      </c>
      <c r="G50" s="3">
        <f>IF(CHECKLIST!Y26&lt;&gt;"",CHECKLIST!Y26,"")</f>
        <v>46128</v>
      </c>
      <c r="H50">
        <f>IF(CHECKLIST!U26,1,0)</f>
        <v>1</v>
      </c>
      <c r="I50" s="3" t="str">
        <f>IF(CHECKLIST!AB26&lt;&gt;"",CHECKLIST!AB26,"")</f>
        <v>28/45/DMAP-GPPS/Srt/B</v>
      </c>
      <c r="J50" s="3" t="str">
        <f ca="1">CHECKLIST!Z26</f>
        <v>ON TRACK</v>
      </c>
      <c r="K50" s="3" t="str">
        <f>IF(CHECKLIST!AC26&lt;&gt;"",CHECKLIST!AC26,"")</f>
        <v>Kick Off: 17 Apr 2026</v>
      </c>
      <c r="L50" s="1">
        <v>46219</v>
      </c>
      <c r="M50" s="1">
        <v>46219</v>
      </c>
    </row>
    <row r="51" spans="1:13" x14ac:dyDescent="0.3">
      <c r="A51">
        <v>20</v>
      </c>
      <c r="B51" t="s">
        <v>20</v>
      </c>
      <c r="C51" t="s">
        <v>19</v>
      </c>
      <c r="D51" s="56">
        <f>IF(CHECKLIST!H27&lt;&gt;"",CHECKLIST!H27,"")</f>
        <v>12</v>
      </c>
      <c r="E51" s="2">
        <v>46235</v>
      </c>
      <c r="F51" s="2">
        <v>46235</v>
      </c>
      <c r="G51" s="3">
        <f>IF(CHECKLIST!Y27&lt;&gt;"",CHECKLIST!Y27,"")</f>
        <v>46225</v>
      </c>
      <c r="H51">
        <f>IF(CHECKLIST!U27,1,0)</f>
        <v>1</v>
      </c>
      <c r="I51" s="3" t="str">
        <f>IF(CHECKLIST!AB27&lt;&gt;"",CHECKLIST!AB27,"")</f>
        <v/>
      </c>
      <c r="J51" s="3" t="str">
        <f ca="1">CHECKLIST!Z27</f>
        <v>ON TRACK</v>
      </c>
      <c r="K51" s="3" t="str">
        <f>IF(CHECKLIST!AC27&lt;&gt;"",CHECKLIST!AC27,"")</f>
        <v/>
      </c>
      <c r="L51" s="1">
        <v>46219</v>
      </c>
      <c r="M51" s="1">
        <v>46219</v>
      </c>
    </row>
    <row r="52" spans="1:13" x14ac:dyDescent="0.3">
      <c r="A52">
        <v>16</v>
      </c>
      <c r="B52" t="s">
        <v>13</v>
      </c>
      <c r="C52" t="s">
        <v>14</v>
      </c>
      <c r="D52" s="56">
        <f>IF(CHECKLIST!H28&lt;&gt;"",CHECKLIST!H28,"")</f>
        <v>5</v>
      </c>
      <c r="E52" s="2">
        <v>46357</v>
      </c>
      <c r="F52" s="2">
        <v>46357</v>
      </c>
      <c r="G52" s="3" t="str">
        <f>IF(CHECKLIST!Y28&lt;&gt;"",CHECKLIST!Y28,"")</f>
        <v/>
      </c>
      <c r="H52">
        <f>IF(CHECKLIST!U28,1,0)</f>
        <v>0</v>
      </c>
      <c r="I52" s="3" t="str">
        <f>IF(CHECKLIST!AB28&lt;&gt;"",CHECKLIST!AB28,"")</f>
        <v/>
      </c>
      <c r="J52" s="3" t="str">
        <f ca="1">CHECKLIST!Z28</f>
        <v>NOT STARTED</v>
      </c>
      <c r="K52" s="3" t="str">
        <f>IF(CHECKLIST!AC28&lt;&gt;"",CHECKLIST!AC28,"")</f>
        <v/>
      </c>
      <c r="L52" s="1">
        <v>46219</v>
      </c>
      <c r="M52" s="1">
        <v>46219</v>
      </c>
    </row>
    <row r="53" spans="1:13" x14ac:dyDescent="0.3">
      <c r="A53">
        <v>16</v>
      </c>
      <c r="B53" t="s">
        <v>17</v>
      </c>
      <c r="C53" t="s">
        <v>18</v>
      </c>
      <c r="D53" s="56">
        <f>IF(CHECKLIST!H29&lt;&gt;"",CHECKLIST!H29,"")</f>
        <v>9</v>
      </c>
      <c r="E53" s="2">
        <v>46143</v>
      </c>
      <c r="F53" s="2">
        <v>46204</v>
      </c>
      <c r="G53" s="3">
        <f>IF(CHECKLIST!Y29&lt;&gt;"",CHECKLIST!Y29,"")</f>
        <v>46167</v>
      </c>
      <c r="H53">
        <f>IF(CHECKLIST!U29,1,0)</f>
        <v>1</v>
      </c>
      <c r="I53" s="3" t="str">
        <f>IF(CHECKLIST!AB29&lt;&gt;"",CHECKLIST!AB29,"")</f>
        <v>28/149/DPAN/M.01/B</v>
      </c>
      <c r="J53" s="3" t="str">
        <f ca="1">CHECKLIST!Z29</f>
        <v>ON TRACK</v>
      </c>
      <c r="K53" s="3" t="str">
        <f>IF(CHECKLIST!AC29&lt;&gt;"",CHECKLIST!AC29,"")</f>
        <v/>
      </c>
      <c r="L53" s="1">
        <v>46219</v>
      </c>
      <c r="M53" s="1">
        <v>46219</v>
      </c>
    </row>
    <row r="54" spans="1:13" x14ac:dyDescent="0.3">
      <c r="A54">
        <v>16</v>
      </c>
      <c r="B54" t="s">
        <v>20</v>
      </c>
      <c r="C54" t="s">
        <v>18</v>
      </c>
      <c r="D54" s="56">
        <f>IF(CHECKLIST!H30&lt;&gt;"",CHECKLIST!H30,"")</f>
        <v>11</v>
      </c>
      <c r="E54" s="2">
        <v>46327</v>
      </c>
      <c r="F54" s="2">
        <v>46357</v>
      </c>
      <c r="G54" s="3" t="str">
        <f>IF(CHECKLIST!Y30&lt;&gt;"",CHECKLIST!Y30,"")</f>
        <v/>
      </c>
      <c r="H54">
        <f>IF(CHECKLIST!U30,1,0)</f>
        <v>0</v>
      </c>
      <c r="I54" s="3" t="str">
        <f>IF(CHECKLIST!AB30&lt;&gt;"",CHECKLIST!AB30,"")</f>
        <v/>
      </c>
      <c r="J54" s="3" t="str">
        <f ca="1">CHECKLIST!Z30</f>
        <v>NOT STARTED</v>
      </c>
      <c r="K54" s="3" t="str">
        <f>IF(CHECKLIST!AC30&lt;&gt;"",CHECKLIST!AC30,"")</f>
        <v/>
      </c>
      <c r="L54" s="1">
        <v>46219</v>
      </c>
      <c r="M54" s="1">
        <v>46219</v>
      </c>
    </row>
    <row r="55" spans="1:13" x14ac:dyDescent="0.3">
      <c r="A55">
        <v>16</v>
      </c>
      <c r="B55" t="s">
        <v>17</v>
      </c>
      <c r="C55" t="s">
        <v>19</v>
      </c>
      <c r="D55" s="56">
        <f>IF(CHECKLIST!H31&lt;&gt;"",CHECKLIST!H31,"")</f>
        <v>10</v>
      </c>
      <c r="E55" s="2">
        <v>46235</v>
      </c>
      <c r="F55" s="2">
        <v>46357</v>
      </c>
      <c r="G55" s="3" t="str">
        <f>IF(CHECKLIST!Y31&lt;&gt;"",CHECKLIST!Y31,"")</f>
        <v/>
      </c>
      <c r="H55">
        <f>IF(CHECKLIST!U31,1,0)</f>
        <v>0</v>
      </c>
      <c r="I55" s="3" t="str">
        <f>IF(CHECKLIST!AB31&lt;&gt;"",CHECKLIST!AB31,"")</f>
        <v/>
      </c>
      <c r="J55" s="3" t="str">
        <f ca="1">CHECKLIST!Z31</f>
        <v>BEHIND</v>
      </c>
      <c r="K55" s="3" t="str">
        <f>IF(CHECKLIST!AC31&lt;&gt;"",CHECKLIST!AC31,"")</f>
        <v/>
      </c>
      <c r="L55" s="1">
        <v>46219</v>
      </c>
      <c r="M55" s="1">
        <v>46219</v>
      </c>
    </row>
    <row r="56" spans="1:13" x14ac:dyDescent="0.3">
      <c r="A56">
        <v>40</v>
      </c>
      <c r="B56" t="s">
        <v>13</v>
      </c>
      <c r="C56" t="s">
        <v>14</v>
      </c>
      <c r="D56" s="56">
        <f>IF(CHECKLIST!H32&lt;&gt;"",CHECKLIST!H32,"")</f>
        <v>5</v>
      </c>
      <c r="E56" s="2">
        <v>46174</v>
      </c>
      <c r="F56" s="2">
        <v>46174</v>
      </c>
      <c r="G56" s="3">
        <f>IF(CHECKLIST!Y32&lt;&gt;"",CHECKLIST!Y32,"")</f>
        <v>46175</v>
      </c>
      <c r="H56">
        <f>IF(CHECKLIST!U32,1,0)</f>
        <v>1</v>
      </c>
      <c r="I56" s="3" t="str">
        <f>IF(CHECKLIST!AB32&lt;&gt;"",CHECKLIST!AB32,"")</f>
        <v/>
      </c>
      <c r="J56" s="3" t="str">
        <f ca="1">CHECKLIST!Z32</f>
        <v>ON TRACK</v>
      </c>
      <c r="K56" s="3" t="str">
        <f>IF(CHECKLIST!AC32&lt;&gt;"",CHECKLIST!AC32,"")</f>
        <v/>
      </c>
      <c r="L56" s="1">
        <v>46219</v>
      </c>
      <c r="M56" s="1">
        <v>46219</v>
      </c>
    </row>
    <row r="57" spans="1:13" x14ac:dyDescent="0.3">
      <c r="A57">
        <v>40</v>
      </c>
      <c r="B57" t="s">
        <v>13</v>
      </c>
      <c r="C57" t="s">
        <v>15</v>
      </c>
      <c r="D57" s="56">
        <f>IF(CHECKLIST!H33&lt;&gt;"",CHECKLIST!H33,"")</f>
        <v>4</v>
      </c>
      <c r="E57" s="2">
        <v>46266</v>
      </c>
      <c r="F57" s="2">
        <v>46266</v>
      </c>
      <c r="G57" s="3" t="str">
        <f>IF(CHECKLIST!Y33&lt;&gt;"",CHECKLIST!Y33,"")</f>
        <v/>
      </c>
      <c r="H57">
        <f>IF(CHECKLIST!U33,1,0)</f>
        <v>0</v>
      </c>
      <c r="I57" s="3" t="str">
        <f>IF(CHECKLIST!AB33&lt;&gt;"",CHECKLIST!AB33,"")</f>
        <v/>
      </c>
      <c r="J57" s="3" t="str">
        <f ca="1">CHECKLIST!Z33</f>
        <v>ON TRACK</v>
      </c>
      <c r="K57" s="3" t="str">
        <f>IF(CHECKLIST!AC33&lt;&gt;"",CHECKLIST!AC33,"")</f>
        <v/>
      </c>
      <c r="L57" s="1">
        <v>46219</v>
      </c>
      <c r="M57" s="1">
        <v>46219</v>
      </c>
    </row>
    <row r="58" spans="1:13" x14ac:dyDescent="0.3">
      <c r="A58">
        <v>40</v>
      </c>
      <c r="B58" t="s">
        <v>13</v>
      </c>
      <c r="C58" t="s">
        <v>16</v>
      </c>
      <c r="D58" s="56">
        <f>IF(CHECKLIST!H34&lt;&gt;"",CHECKLIST!H34,"")</f>
        <v>6</v>
      </c>
      <c r="E58" s="2">
        <v>46357</v>
      </c>
      <c r="F58" s="2">
        <v>46357</v>
      </c>
      <c r="G58" s="3" t="str">
        <f>IF(CHECKLIST!Y34&lt;&gt;"",CHECKLIST!Y34,"")</f>
        <v/>
      </c>
      <c r="H58">
        <f>IF(CHECKLIST!U34,1,0)</f>
        <v>0</v>
      </c>
      <c r="I58" s="3" t="str">
        <f>IF(CHECKLIST!AB34&lt;&gt;"",CHECKLIST!AB34,"")</f>
        <v/>
      </c>
      <c r="J58" s="3" t="str">
        <f ca="1">CHECKLIST!Z34</f>
        <v>NOT STARTED</v>
      </c>
      <c r="K58" s="3" t="str">
        <f>IF(CHECKLIST!AC34&lt;&gt;"",CHECKLIST!AC34,"")</f>
        <v/>
      </c>
      <c r="L58" s="1">
        <v>46219</v>
      </c>
      <c r="M58" s="1">
        <v>46219</v>
      </c>
    </row>
    <row r="59" spans="1:13" x14ac:dyDescent="0.3">
      <c r="A59">
        <v>40</v>
      </c>
      <c r="B59" t="s">
        <v>20</v>
      </c>
      <c r="C59" t="s">
        <v>18</v>
      </c>
      <c r="D59" s="56">
        <f>IF(CHECKLIST!H35&lt;&gt;"",CHECKLIST!H35,"")</f>
        <v>11</v>
      </c>
      <c r="E59" s="2">
        <v>46296</v>
      </c>
      <c r="F59" s="2">
        <v>46327</v>
      </c>
      <c r="G59" s="3" t="str">
        <f>IF(CHECKLIST!Y35&lt;&gt;"",CHECKLIST!Y35,"")</f>
        <v/>
      </c>
      <c r="H59">
        <f>IF(CHECKLIST!U35,1,0)</f>
        <v>0</v>
      </c>
      <c r="I59" s="3" t="str">
        <f>IF(CHECKLIST!AB35&lt;&gt;"",CHECKLIST!AB35,"")</f>
        <v/>
      </c>
      <c r="J59" s="3" t="str">
        <f ca="1">CHECKLIST!Z35</f>
        <v>NOT STARTED</v>
      </c>
      <c r="K59" s="3" t="str">
        <f>IF(CHECKLIST!AC35&lt;&gt;"",CHECKLIST!AC35,"")</f>
        <v/>
      </c>
      <c r="L59" s="1">
        <v>46219</v>
      </c>
      <c r="M59" s="1">
        <v>46219</v>
      </c>
    </row>
    <row r="60" spans="1:13" x14ac:dyDescent="0.3">
      <c r="A60">
        <v>40</v>
      </c>
      <c r="B60" t="s">
        <v>21</v>
      </c>
      <c r="C60" t="s">
        <v>18</v>
      </c>
      <c r="D60" s="56">
        <f>IF(CHECKLIST!H36&lt;&gt;"",CHECKLIST!H36,"")</f>
        <v>7</v>
      </c>
      <c r="E60" s="2">
        <v>46357</v>
      </c>
      <c r="F60" s="2">
        <v>46357</v>
      </c>
      <c r="G60" s="3" t="str">
        <f>IF(CHECKLIST!Y36&lt;&gt;"",CHECKLIST!Y36,"")</f>
        <v/>
      </c>
      <c r="H60">
        <f>IF(CHECKLIST!U36,1,0)</f>
        <v>0</v>
      </c>
      <c r="I60" s="3" t="str">
        <f>IF(CHECKLIST!AB36&lt;&gt;"",CHECKLIST!AB36,"")</f>
        <v/>
      </c>
      <c r="J60" s="3" t="str">
        <f ca="1">CHECKLIST!Z36</f>
        <v>NOT STARTED</v>
      </c>
      <c r="K60" s="3" t="str">
        <f>IF(CHECKLIST!AC36&lt;&gt;"",CHECKLIST!AC36,"")</f>
        <v/>
      </c>
      <c r="L60" s="1">
        <v>46219</v>
      </c>
      <c r="M60" s="1">
        <v>46219</v>
      </c>
    </row>
    <row r="61" spans="1:13" x14ac:dyDescent="0.3">
      <c r="A61">
        <v>40</v>
      </c>
      <c r="B61" t="s">
        <v>20</v>
      </c>
      <c r="C61" t="s">
        <v>19</v>
      </c>
      <c r="D61" s="56">
        <f>IF(CHECKLIST!H37&lt;&gt;"",CHECKLIST!H37,"")</f>
        <v>12</v>
      </c>
      <c r="E61" s="2">
        <v>46357</v>
      </c>
      <c r="F61" s="2">
        <v>46357</v>
      </c>
      <c r="G61" s="3" t="str">
        <f>IF(CHECKLIST!Y37&lt;&gt;"",CHECKLIST!Y37,"")</f>
        <v/>
      </c>
      <c r="H61">
        <f>IF(CHECKLIST!U37,1,0)</f>
        <v>0</v>
      </c>
      <c r="I61" s="3" t="str">
        <f>IF(CHECKLIST!AB37&lt;&gt;"",CHECKLIST!AB37,"")</f>
        <v/>
      </c>
      <c r="J61" s="3" t="str">
        <f ca="1">CHECKLIST!Z37</f>
        <v>NOT STARTED</v>
      </c>
      <c r="K61" s="3" t="str">
        <f>IF(CHECKLIST!AC37&lt;&gt;"",CHECKLIST!AC37,"")</f>
        <v/>
      </c>
      <c r="L61" s="1">
        <v>46219</v>
      </c>
      <c r="M61" s="1">
        <v>46219</v>
      </c>
    </row>
    <row r="62" spans="1:13" x14ac:dyDescent="0.3">
      <c r="A62">
        <v>3</v>
      </c>
      <c r="B62" t="s">
        <v>22</v>
      </c>
      <c r="C62" s="8" t="s">
        <v>30</v>
      </c>
      <c r="D62" s="56">
        <f>IF(CHECKLIST!H38&lt;&gt;"",CHECKLIST!H38,"")</f>
        <v>1</v>
      </c>
      <c r="E62" s="2">
        <v>46023</v>
      </c>
      <c r="F62" s="2">
        <v>46357</v>
      </c>
      <c r="G62" s="3" t="str">
        <f>IF(CHECKLIST!Y38&lt;&gt;"",CHECKLIST!Y38,"")</f>
        <v/>
      </c>
      <c r="H62">
        <f>IF(CHECKLIST!U38,1,0)</f>
        <v>1</v>
      </c>
      <c r="I62" s="3" t="str">
        <f>IF(CHECKLIST!AB38&lt;&gt;"",CHECKLIST!AB38,"")</f>
        <v/>
      </c>
      <c r="J62" s="3" t="str">
        <f ca="1">CHECKLIST!Z38</f>
        <v>ON TRACK</v>
      </c>
      <c r="K62" s="3" t="str">
        <f>IF(CHECKLIST!AC38&lt;&gt;"",CHECKLIST!AC38,"")</f>
        <v/>
      </c>
      <c r="L62" s="1">
        <v>46219</v>
      </c>
      <c r="M62" s="1">
        <v>46219</v>
      </c>
    </row>
    <row r="63" spans="1:13" x14ac:dyDescent="0.3">
      <c r="A63">
        <v>12</v>
      </c>
      <c r="B63" t="s">
        <v>13</v>
      </c>
      <c r="C63" t="s">
        <v>15</v>
      </c>
      <c r="D63" s="56">
        <f>IF(CHECKLIST!H39&lt;&gt;"",CHECKLIST!H39,"")</f>
        <v>4</v>
      </c>
      <c r="E63" s="2">
        <v>46174</v>
      </c>
      <c r="F63" s="2">
        <v>46174</v>
      </c>
      <c r="G63" s="3">
        <f>IF(CHECKLIST!Y39&lt;&gt;"",CHECKLIST!Y39,"")</f>
        <v>46255</v>
      </c>
      <c r="H63">
        <f>IF(CHECKLIST!U39,1,0)</f>
        <v>1</v>
      </c>
      <c r="I63" s="3" t="str">
        <f>IF(CHECKLIST!AB39&lt;&gt;"",CHECKLIST!AB39,"")</f>
        <v/>
      </c>
      <c r="J63" s="3" t="str">
        <f ca="1">CHECKLIST!Z39</f>
        <v>ON TRACK</v>
      </c>
      <c r="K63" s="3" t="str">
        <f>IF(CHECKLIST!AC39&lt;&gt;"",CHECKLIST!AC39,"")</f>
        <v>sulteng tanpa rbt</v>
      </c>
      <c r="L63" s="1">
        <v>46219</v>
      </c>
      <c r="M63" s="1">
        <v>46219</v>
      </c>
    </row>
    <row r="64" spans="1:13" x14ac:dyDescent="0.3">
      <c r="A64">
        <v>12</v>
      </c>
      <c r="B64" t="s">
        <v>13</v>
      </c>
      <c r="C64" t="s">
        <v>16</v>
      </c>
      <c r="D64" s="56">
        <f>IF(CHECKLIST!H40&lt;&gt;"",CHECKLIST!H40,"")</f>
        <v>6</v>
      </c>
      <c r="E64" s="2">
        <v>46266</v>
      </c>
      <c r="F64" s="2">
        <v>46266</v>
      </c>
      <c r="G64" s="3" t="str">
        <f>IF(CHECKLIST!Y40&lt;&gt;"",CHECKLIST!Y40,"")</f>
        <v/>
      </c>
      <c r="H64">
        <f>IF(CHECKLIST!U40,1,0)</f>
        <v>0</v>
      </c>
      <c r="I64" s="3" t="str">
        <f>IF(CHECKLIST!AB40&lt;&gt;"",CHECKLIST!AB40,"")</f>
        <v/>
      </c>
      <c r="J64" s="3" t="str">
        <f ca="1">CHECKLIST!Z40</f>
        <v>ON TRACK</v>
      </c>
      <c r="K64" s="3" t="str">
        <f>IF(CHECKLIST!AC40&lt;&gt;"",CHECKLIST!AC40,"")</f>
        <v/>
      </c>
      <c r="L64" s="1">
        <v>46219</v>
      </c>
      <c r="M64" s="1">
        <v>46219</v>
      </c>
    </row>
    <row r="65" spans="1:13" x14ac:dyDescent="0.3">
      <c r="A65">
        <v>12</v>
      </c>
      <c r="B65" t="s">
        <v>20</v>
      </c>
      <c r="C65" t="s">
        <v>18</v>
      </c>
      <c r="D65" s="56">
        <f>IF(CHECKLIST!H41&lt;&gt;"",CHECKLIST!H41,"")</f>
        <v>11</v>
      </c>
      <c r="E65" s="2">
        <v>46054</v>
      </c>
      <c r="F65" s="2">
        <v>46143</v>
      </c>
      <c r="G65" s="3">
        <f>IF(CHECKLIST!Y41&lt;&gt;"",CHECKLIST!Y41,"")</f>
        <v>46094</v>
      </c>
      <c r="H65">
        <f>IF(CHECKLIST!U41,1,0)</f>
        <v>1</v>
      </c>
      <c r="I65" s="3" t="str">
        <f>IF(CHECKLIST!AB41&lt;&gt;"",CHECKLIST!AB41,"")</f>
        <v/>
      </c>
      <c r="J65" s="3" t="str">
        <f ca="1">CHECKLIST!Z41</f>
        <v>ON TRACK</v>
      </c>
      <c r="K65" s="3" t="str">
        <f>IF(CHECKLIST!AC41&lt;&gt;"",CHECKLIST!AC41,"")</f>
        <v>MK bundling dengan GKS. Kontraktor ttp masing2. Pembangunan di oktober, BAST Desember</v>
      </c>
      <c r="L65" s="1">
        <v>46219</v>
      </c>
      <c r="M65" s="1">
        <v>46219</v>
      </c>
    </row>
    <row r="66" spans="1:13" x14ac:dyDescent="0.3">
      <c r="A66">
        <v>12</v>
      </c>
      <c r="B66" t="s">
        <v>21</v>
      </c>
      <c r="C66" t="s">
        <v>18</v>
      </c>
      <c r="D66" s="56">
        <f>IF(CHECKLIST!H42&lt;&gt;"",CHECKLIST!H42,"")</f>
        <v>7</v>
      </c>
      <c r="E66" s="2">
        <v>46266</v>
      </c>
      <c r="F66" s="2">
        <v>46327</v>
      </c>
      <c r="G66" s="3" t="str">
        <f>IF(CHECKLIST!Y42&lt;&gt;"",CHECKLIST!Y42,"")</f>
        <v/>
      </c>
      <c r="H66">
        <f>IF(CHECKLIST!U42,1,0)</f>
        <v>0</v>
      </c>
      <c r="I66" s="3" t="str">
        <f>IF(CHECKLIST!AB42&lt;&gt;"",CHECKLIST!AB42,"")</f>
        <v/>
      </c>
      <c r="J66" s="3" t="str">
        <f ca="1">CHECKLIST!Z42</f>
        <v>ON TRACK</v>
      </c>
      <c r="K66" s="3" t="str">
        <f>IF(CHECKLIST!AC42&lt;&gt;"",CHECKLIST!AC42,"")</f>
        <v/>
      </c>
      <c r="L66" s="1">
        <v>46219</v>
      </c>
      <c r="M66" s="1">
        <v>46219</v>
      </c>
    </row>
    <row r="67" spans="1:13" x14ac:dyDescent="0.3">
      <c r="A67">
        <v>12</v>
      </c>
      <c r="B67" t="s">
        <v>20</v>
      </c>
      <c r="C67" t="s">
        <v>19</v>
      </c>
      <c r="D67" s="56">
        <f>IF(CHECKLIST!H43&lt;&gt;"",CHECKLIST!H43,"")</f>
        <v>12</v>
      </c>
      <c r="E67" s="2">
        <v>46174</v>
      </c>
      <c r="F67" s="2">
        <v>46174</v>
      </c>
      <c r="G67" s="3">
        <f>IF(CHECKLIST!Y43&lt;&gt;"",CHECKLIST!Y43,"")</f>
        <v>46232</v>
      </c>
      <c r="H67">
        <f>IF(CHECKLIST!U43,1,0)</f>
        <v>1</v>
      </c>
      <c r="I67" s="3" t="str">
        <f>IF(CHECKLIST!AB43&lt;&gt;"",CHECKLIST!AB43,"")</f>
        <v/>
      </c>
      <c r="J67" s="3" t="str">
        <f ca="1">CHECKLIST!Z43</f>
        <v>ON TRACK</v>
      </c>
      <c r="K67" s="3" t="str">
        <f>IF(CHECKLIST!AC43&lt;&gt;"",CHECKLIST!AC43,"")</f>
        <v/>
      </c>
      <c r="L67" s="1">
        <v>46219</v>
      </c>
      <c r="M67" s="1">
        <v>46219</v>
      </c>
    </row>
    <row r="68" spans="1:13" x14ac:dyDescent="0.3">
      <c r="A68">
        <v>12</v>
      </c>
      <c r="B68" t="s">
        <v>21</v>
      </c>
      <c r="C68" t="s">
        <v>19</v>
      </c>
      <c r="D68" s="56">
        <f>IF(CHECKLIST!H44&lt;&gt;"",CHECKLIST!H44,"")</f>
        <v>8</v>
      </c>
      <c r="E68" s="2">
        <v>46357</v>
      </c>
      <c r="F68" s="2">
        <v>46357</v>
      </c>
      <c r="G68" s="3" t="str">
        <f>IF(CHECKLIST!Y44&lt;&gt;"",CHECKLIST!Y44,"")</f>
        <v/>
      </c>
      <c r="H68">
        <f>IF(CHECKLIST!U44,1,0)</f>
        <v>0</v>
      </c>
      <c r="I68" s="3" t="str">
        <f>IF(CHECKLIST!AB44&lt;&gt;"",CHECKLIST!AB44,"")</f>
        <v/>
      </c>
      <c r="J68" s="3" t="str">
        <f ca="1">CHECKLIST!Z44</f>
        <v>NOT STARTED</v>
      </c>
      <c r="K68" s="3" t="str">
        <f>IF(CHECKLIST!AC44&lt;&gt;"",CHECKLIST!AC44,"")</f>
        <v/>
      </c>
      <c r="L68" s="1">
        <v>46219</v>
      </c>
      <c r="M68" s="1">
        <v>46219</v>
      </c>
    </row>
    <row r="69" spans="1:13" x14ac:dyDescent="0.3">
      <c r="A69">
        <v>2</v>
      </c>
      <c r="B69" t="s">
        <v>13</v>
      </c>
      <c r="C69" t="s">
        <v>14</v>
      </c>
      <c r="D69" s="56">
        <f>IF(CHECKLIST!H45&lt;&gt;"",CHECKLIST!H45,"")</f>
        <v>5</v>
      </c>
      <c r="E69" s="2">
        <v>46174</v>
      </c>
      <c r="F69" s="2">
        <v>46174</v>
      </c>
      <c r="G69" s="3">
        <f>IF(CHECKLIST!Y45&lt;&gt;"",CHECKLIST!Y45,"")</f>
        <v>46212</v>
      </c>
      <c r="H69">
        <f>IF(CHECKLIST!U45,1,0)</f>
        <v>1</v>
      </c>
      <c r="I69" s="3" t="str">
        <f>IF(CHECKLIST!AB45&lt;&gt;"",CHECKLIST!AB45,"")</f>
        <v/>
      </c>
      <c r="J69" s="3" t="str">
        <f ca="1">CHECKLIST!Z45</f>
        <v>ON TRACK</v>
      </c>
      <c r="K69" s="3" t="str">
        <f>IF(CHECKLIST!AC45&lt;&gt;"",CHECKLIST!AC45,"")</f>
        <v/>
      </c>
      <c r="L69" s="1">
        <v>46219</v>
      </c>
      <c r="M69" s="1">
        <v>46219</v>
      </c>
    </row>
    <row r="70" spans="1:13" x14ac:dyDescent="0.3">
      <c r="A70">
        <v>2</v>
      </c>
      <c r="B70" t="s">
        <v>13</v>
      </c>
      <c r="C70" t="s">
        <v>15</v>
      </c>
      <c r="D70" s="56">
        <f>IF(CHECKLIST!H46&lt;&gt;"",CHECKLIST!H46,"")</f>
        <v>4</v>
      </c>
      <c r="E70" s="2">
        <v>46235</v>
      </c>
      <c r="F70" s="2">
        <v>46235</v>
      </c>
      <c r="G70" s="3" t="str">
        <f>IF(CHECKLIST!Y46&lt;&gt;"",CHECKLIST!Y46,"")</f>
        <v/>
      </c>
      <c r="H70">
        <f>IF(CHECKLIST!U46,1,0)</f>
        <v>0</v>
      </c>
      <c r="I70" s="3" t="str">
        <f>IF(CHECKLIST!AB46&lt;&gt;"",CHECKLIST!AB46,"")</f>
        <v/>
      </c>
      <c r="J70" s="3" t="str">
        <f ca="1">CHECKLIST!Z46</f>
        <v>BEHIND</v>
      </c>
      <c r="K70" s="3" t="str">
        <f>IF(CHECKLIST!AC46&lt;&gt;"",CHECKLIST!AC46,"")</f>
        <v>Ada jadwal RBT di MEI</v>
      </c>
      <c r="L70" s="1">
        <v>46219</v>
      </c>
      <c r="M70" s="1">
        <v>46219</v>
      </c>
    </row>
    <row r="71" spans="1:13" x14ac:dyDescent="0.3">
      <c r="A71">
        <v>2</v>
      </c>
      <c r="B71" t="s">
        <v>13</v>
      </c>
      <c r="C71" t="s">
        <v>16</v>
      </c>
      <c r="D71" s="56">
        <f>IF(CHECKLIST!H47&lt;&gt;"",CHECKLIST!H47,"")</f>
        <v>6</v>
      </c>
      <c r="E71" s="2">
        <v>46296</v>
      </c>
      <c r="F71" s="2">
        <v>46296</v>
      </c>
      <c r="G71" s="3" t="str">
        <f>IF(CHECKLIST!Y47&lt;&gt;"",CHECKLIST!Y47,"")</f>
        <v/>
      </c>
      <c r="H71">
        <f>IF(CHECKLIST!U47,1,0)</f>
        <v>0</v>
      </c>
      <c r="I71" s="3" t="str">
        <f>IF(CHECKLIST!AB47&lt;&gt;"",CHECKLIST!AB47,"")</f>
        <v/>
      </c>
      <c r="J71" s="3" t="str">
        <f ca="1">CHECKLIST!Z47</f>
        <v>NOT STARTED</v>
      </c>
      <c r="K71" s="3" t="str">
        <f>IF(CHECKLIST!AC47&lt;&gt;"",CHECKLIST!AC47,"")</f>
        <v/>
      </c>
      <c r="L71" s="1">
        <v>46219</v>
      </c>
      <c r="M71" s="1">
        <v>46219</v>
      </c>
    </row>
    <row r="72" spans="1:13" x14ac:dyDescent="0.3">
      <c r="A72">
        <v>2</v>
      </c>
      <c r="B72" t="s">
        <v>20</v>
      </c>
      <c r="C72" t="s">
        <v>18</v>
      </c>
      <c r="D72" s="56">
        <f>IF(CHECKLIST!H48&lt;&gt;"",CHECKLIST!H48,"")</f>
        <v>11</v>
      </c>
      <c r="E72" s="2">
        <v>46113</v>
      </c>
      <c r="F72" s="2">
        <v>46204</v>
      </c>
      <c r="G72" s="3">
        <f>IF(CHECKLIST!Y48&lt;&gt;"",CHECKLIST!Y48,"")</f>
        <v>46128</v>
      </c>
      <c r="H72">
        <f>IF(CHECKLIST!U48,1,0)</f>
        <v>1</v>
      </c>
      <c r="I72" s="3" t="str">
        <f>IF(CHECKLIST!AB48&lt;&gt;"",CHECKLIST!AB48,"")</f>
        <v>28/68/DPAN-GPAN1/M.01/B</v>
      </c>
      <c r="J72" s="3" t="str">
        <f ca="1">CHECKLIST!Z48</f>
        <v>ON TRACK</v>
      </c>
      <c r="K72" s="3" t="str">
        <f>IF(CHECKLIST!AC48&lt;&gt;"",CHECKLIST!AC48,"")</f>
        <v/>
      </c>
      <c r="L72" s="1">
        <v>46219</v>
      </c>
      <c r="M72" s="1">
        <v>46219</v>
      </c>
    </row>
    <row r="73" spans="1:13" x14ac:dyDescent="0.3">
      <c r="A73">
        <v>2</v>
      </c>
      <c r="B73" t="s">
        <v>21</v>
      </c>
      <c r="C73" t="s">
        <v>18</v>
      </c>
      <c r="D73" s="56">
        <f>IF(CHECKLIST!H49&lt;&gt;"",CHECKLIST!H49,"")</f>
        <v>7</v>
      </c>
      <c r="E73" s="2">
        <v>46296</v>
      </c>
      <c r="F73" s="2">
        <v>46357</v>
      </c>
      <c r="G73" s="3" t="str">
        <f>IF(CHECKLIST!Y49&lt;&gt;"",CHECKLIST!Y49,"")</f>
        <v/>
      </c>
      <c r="H73">
        <f>IF(CHECKLIST!U49,1,0)</f>
        <v>0</v>
      </c>
      <c r="I73" s="3" t="str">
        <f>IF(CHECKLIST!AB49&lt;&gt;"",CHECKLIST!AB49,"")</f>
        <v/>
      </c>
      <c r="J73" s="3" t="str">
        <f ca="1">CHECKLIST!Z49</f>
        <v>NOT STARTED</v>
      </c>
      <c r="K73" s="3" t="str">
        <f>IF(CHECKLIST!AC49&lt;&gt;"",CHECKLIST!AC49,"")</f>
        <v/>
      </c>
      <c r="L73" s="1">
        <v>46219</v>
      </c>
      <c r="M73" s="1">
        <v>46219</v>
      </c>
    </row>
    <row r="74" spans="1:13" x14ac:dyDescent="0.3">
      <c r="A74">
        <v>2</v>
      </c>
      <c r="B74" t="s">
        <v>17</v>
      </c>
      <c r="C74" t="s">
        <v>19</v>
      </c>
      <c r="D74" s="56">
        <f>IF(CHECKLIST!H50&lt;&gt;"",CHECKLIST!H50,"")</f>
        <v>10</v>
      </c>
      <c r="E74" s="2">
        <v>46113</v>
      </c>
      <c r="F74" s="2">
        <v>46266</v>
      </c>
      <c r="G74" s="3">
        <f>IF(CHECKLIST!Y50&lt;&gt;"",CHECKLIST!Y50,"")</f>
        <v>46122</v>
      </c>
      <c r="H74">
        <f>IF(CHECKLIST!U50,1,0)</f>
        <v>1</v>
      </c>
      <c r="I74" s="3" t="str">
        <f>IF(CHECKLIST!AB50&lt;&gt;"",CHECKLIST!AB50,"")</f>
        <v>28/36/DMAP-GPPS/Srt/B</v>
      </c>
      <c r="J74" s="3" t="str">
        <f ca="1">CHECKLIST!Z50</f>
        <v>ON TRACK</v>
      </c>
      <c r="K74" s="3" t="str">
        <f>IF(CHECKLIST!AC50&lt;&gt;"",CHECKLIST!AC50,"")</f>
        <v>Kick Off: 16 Apr 2026</v>
      </c>
      <c r="L74" s="1">
        <v>46219</v>
      </c>
      <c r="M74" s="1">
        <v>46219</v>
      </c>
    </row>
    <row r="75" spans="1:13" x14ac:dyDescent="0.3">
      <c r="A75">
        <v>2</v>
      </c>
      <c r="B75" t="s">
        <v>20</v>
      </c>
      <c r="C75" t="s">
        <v>19</v>
      </c>
      <c r="D75" s="56">
        <f>IF(CHECKLIST!H51&lt;&gt;"",CHECKLIST!H51,"")</f>
        <v>12</v>
      </c>
      <c r="E75" s="2">
        <v>46235</v>
      </c>
      <c r="F75" s="2">
        <v>46235</v>
      </c>
      <c r="G75" s="3">
        <f>IF(CHECKLIST!Y51&lt;&gt;"",CHECKLIST!Y51,"")</f>
        <v>46238</v>
      </c>
      <c r="H75">
        <f>IF(CHECKLIST!U51,1,0)</f>
        <v>1</v>
      </c>
      <c r="I75" s="3" t="str">
        <f>IF(CHECKLIST!AB51&lt;&gt;"",CHECKLIST!AB51,"")</f>
        <v>28/111/DMAP-GPPS/Srt/B</v>
      </c>
      <c r="J75" s="3" t="str">
        <f ca="1">CHECKLIST!Z51</f>
        <v>ON TRACK</v>
      </c>
      <c r="K75" s="3" t="str">
        <f>IF(CHECKLIST!AC51&lt;&gt;"",CHECKLIST!AC51,"")</f>
        <v/>
      </c>
      <c r="L75" s="1">
        <v>46219</v>
      </c>
      <c r="M75" s="1">
        <v>46219</v>
      </c>
    </row>
    <row r="76" spans="1:13" x14ac:dyDescent="0.3">
      <c r="A76">
        <v>54</v>
      </c>
      <c r="B76" t="s">
        <v>13</v>
      </c>
      <c r="C76" t="s">
        <v>15</v>
      </c>
      <c r="D76" s="56">
        <f>IF(CHECKLIST!H52&lt;&gt;"",CHECKLIST!H52,"")</f>
        <v>4</v>
      </c>
      <c r="E76" s="2">
        <v>46174</v>
      </c>
      <c r="F76" s="2">
        <v>46174</v>
      </c>
      <c r="G76" s="3" t="str">
        <f>IF(CHECKLIST!Y52&lt;&gt;"",CHECKLIST!Y52,"")</f>
        <v/>
      </c>
      <c r="H76">
        <f>IF(CHECKLIST!U52,1,0)</f>
        <v>0</v>
      </c>
      <c r="I76" s="3" t="str">
        <f>IF(CHECKLIST!AB52&lt;&gt;"",CHECKLIST!AB52,"")</f>
        <v/>
      </c>
      <c r="J76" s="3" t="str">
        <f ca="1">CHECKLIST!Z52</f>
        <v>BEHIND</v>
      </c>
      <c r="K76" s="3" t="str">
        <f>IF(CHECKLIST!AC52&lt;&gt;"",CHECKLIST!AC52,"")</f>
        <v>Ada jadwal RBT di MEI</v>
      </c>
      <c r="L76" s="1">
        <v>46219</v>
      </c>
      <c r="M76" s="1">
        <v>46219</v>
      </c>
    </row>
    <row r="77" spans="1:13" x14ac:dyDescent="0.3">
      <c r="A77">
        <v>54</v>
      </c>
      <c r="B77" t="s">
        <v>26</v>
      </c>
      <c r="C77" t="s">
        <v>18</v>
      </c>
      <c r="D77" s="56">
        <f>IF(CHECKLIST!H53&lt;&gt;"",CHECKLIST!H53,"")</f>
        <v>13</v>
      </c>
      <c r="E77" s="2">
        <v>46235</v>
      </c>
      <c r="F77" s="2">
        <v>46235</v>
      </c>
      <c r="G77" s="3" t="str">
        <f>IF(CHECKLIST!Y53&lt;&gt;"",CHECKLIST!Y53,"")</f>
        <v/>
      </c>
      <c r="H77">
        <f>IF(CHECKLIST!U53,1,0)</f>
        <v>0</v>
      </c>
      <c r="I77" s="3" t="str">
        <f>IF(CHECKLIST!AB53&lt;&gt;"",CHECKLIST!AB53,"")</f>
        <v/>
      </c>
      <c r="J77" s="3" t="str">
        <f ca="1">CHECKLIST!Z53</f>
        <v>BEHIND</v>
      </c>
      <c r="K77" s="3" t="str">
        <f>IF(CHECKLIST!AC53&lt;&gt;"",CHECKLIST!AC53,"")</f>
        <v/>
      </c>
      <c r="L77" s="1">
        <v>46219</v>
      </c>
      <c r="M77" s="1">
        <v>46219</v>
      </c>
    </row>
    <row r="78" spans="1:13" x14ac:dyDescent="0.3">
      <c r="A78">
        <v>54</v>
      </c>
      <c r="B78" t="s">
        <v>26</v>
      </c>
      <c r="C78" t="s">
        <v>27</v>
      </c>
      <c r="D78" s="56">
        <f>IF(CHECKLIST!H54&lt;&gt;"",CHECKLIST!H54,"")</f>
        <v>14</v>
      </c>
      <c r="E78" s="2">
        <v>46266</v>
      </c>
      <c r="F78" s="2">
        <v>46266</v>
      </c>
      <c r="G78" s="3" t="str">
        <f>IF(CHECKLIST!Y54&lt;&gt;"",CHECKLIST!Y54,"")</f>
        <v/>
      </c>
      <c r="H78">
        <f>IF(CHECKLIST!U54,1,0)</f>
        <v>0</v>
      </c>
      <c r="I78" s="3" t="str">
        <f>IF(CHECKLIST!AB54&lt;&gt;"",CHECKLIST!AB54,"")</f>
        <v/>
      </c>
      <c r="J78" s="3" t="str">
        <f ca="1">CHECKLIST!Z54</f>
        <v>ON TRACK</v>
      </c>
      <c r="K78" s="3" t="str">
        <f>IF(CHECKLIST!AC54&lt;&gt;"",CHECKLIST!AC54,"")</f>
        <v/>
      </c>
      <c r="L78" s="1">
        <v>46219</v>
      </c>
      <c r="M78" s="1">
        <v>46219</v>
      </c>
    </row>
    <row r="79" spans="1:13" x14ac:dyDescent="0.3">
      <c r="A79">
        <v>53</v>
      </c>
      <c r="B79" t="s">
        <v>13</v>
      </c>
      <c r="C79" t="s">
        <v>15</v>
      </c>
      <c r="D79" s="56">
        <f>IF(CHECKLIST!H55&lt;&gt;"",CHECKLIST!H55,"")</f>
        <v>4</v>
      </c>
      <c r="E79" s="2">
        <v>46174</v>
      </c>
      <c r="F79" s="2">
        <v>46174</v>
      </c>
      <c r="G79" s="3" t="str">
        <f>IF(CHECKLIST!Y55&lt;&gt;"",CHECKLIST!Y55,"")</f>
        <v/>
      </c>
      <c r="H79">
        <f>IF(CHECKLIST!U55,1,0)</f>
        <v>0</v>
      </c>
      <c r="I79" s="3" t="str">
        <f>IF(CHECKLIST!AB55&lt;&gt;"",CHECKLIST!AB55,"")</f>
        <v/>
      </c>
      <c r="J79" s="3" t="str">
        <f ca="1">CHECKLIST!Z55</f>
        <v>BEHIND</v>
      </c>
      <c r="K79" s="3" t="str">
        <f>IF(CHECKLIST!AC55&lt;&gt;"",CHECKLIST!AC55,"")</f>
        <v/>
      </c>
      <c r="L79" s="1">
        <v>46219</v>
      </c>
      <c r="M79" s="1">
        <v>46219</v>
      </c>
    </row>
    <row r="80" spans="1:13" x14ac:dyDescent="0.3">
      <c r="A80">
        <v>53</v>
      </c>
      <c r="B80" t="s">
        <v>26</v>
      </c>
      <c r="C80" t="s">
        <v>18</v>
      </c>
      <c r="D80" s="56">
        <f>IF(CHECKLIST!H56&lt;&gt;"",CHECKLIST!H56,"")</f>
        <v>13</v>
      </c>
      <c r="E80" s="2">
        <v>46235</v>
      </c>
      <c r="F80" s="2">
        <v>46235</v>
      </c>
      <c r="G80" s="3" t="str">
        <f>IF(CHECKLIST!Y56&lt;&gt;"",CHECKLIST!Y56,"")</f>
        <v/>
      </c>
      <c r="H80">
        <f>IF(CHECKLIST!U56,1,0)</f>
        <v>0</v>
      </c>
      <c r="I80" s="3" t="str">
        <f>IF(CHECKLIST!AB56&lt;&gt;"",CHECKLIST!AB56,"")</f>
        <v/>
      </c>
      <c r="J80" s="3" t="str">
        <f ca="1">CHECKLIST!Z56</f>
        <v>BEHIND</v>
      </c>
      <c r="K80" s="3" t="str">
        <f>IF(CHECKLIST!AC56&lt;&gt;"",CHECKLIST!AC56,"")</f>
        <v/>
      </c>
      <c r="L80" s="1">
        <v>46219</v>
      </c>
      <c r="M80" s="1">
        <v>46219</v>
      </c>
    </row>
    <row r="81" spans="1:13" x14ac:dyDescent="0.3">
      <c r="A81">
        <v>53</v>
      </c>
      <c r="B81" t="s">
        <v>26</v>
      </c>
      <c r="C81" t="s">
        <v>27</v>
      </c>
      <c r="D81" s="56">
        <f>IF(CHECKLIST!H57&lt;&gt;"",CHECKLIST!H57,"")</f>
        <v>14</v>
      </c>
      <c r="E81" s="2">
        <v>46266</v>
      </c>
      <c r="F81" s="2">
        <v>46266</v>
      </c>
      <c r="G81" s="3" t="str">
        <f>IF(CHECKLIST!Y57&lt;&gt;"",CHECKLIST!Y57,"")</f>
        <v/>
      </c>
      <c r="H81">
        <f>IF(CHECKLIST!U57,1,0)</f>
        <v>0</v>
      </c>
      <c r="I81" s="3" t="str">
        <f>IF(CHECKLIST!AB57&lt;&gt;"",CHECKLIST!AB57,"")</f>
        <v/>
      </c>
      <c r="J81" s="3" t="str">
        <f ca="1">CHECKLIST!Z57</f>
        <v>ON TRACK</v>
      </c>
      <c r="K81" s="3" t="str">
        <f>IF(CHECKLIST!AC57&lt;&gt;"",CHECKLIST!AC57,"")</f>
        <v/>
      </c>
      <c r="L81" s="1">
        <v>46219</v>
      </c>
      <c r="M81" s="1">
        <v>46219</v>
      </c>
    </row>
    <row r="82" spans="1:13" x14ac:dyDescent="0.3">
      <c r="A82">
        <v>49</v>
      </c>
      <c r="B82" t="s">
        <v>26</v>
      </c>
      <c r="C82" t="s">
        <v>18</v>
      </c>
      <c r="D82" s="56">
        <f>IF(CHECKLIST!H59&lt;&gt;"",CHECKLIST!H59,"")</f>
        <v>13</v>
      </c>
      <c r="E82" s="2">
        <v>46296</v>
      </c>
      <c r="F82" s="2">
        <v>46327</v>
      </c>
      <c r="G82" s="3" t="str">
        <f>IF(CHECKLIST!Y59&lt;&gt;"",CHECKLIST!Y59,"")</f>
        <v/>
      </c>
      <c r="H82">
        <f>IF(CHECKLIST!U59,1,0)</f>
        <v>0</v>
      </c>
      <c r="I82" s="3" t="str">
        <f>IF(CHECKLIST!AB59&lt;&gt;"",CHECKLIST!AB59,"")</f>
        <v/>
      </c>
      <c r="J82" s="3" t="str">
        <f ca="1">CHECKLIST!Z59</f>
        <v>NOT STARTED</v>
      </c>
      <c r="K82" s="3" t="str">
        <f>IF(CHECKLIST!AC59&lt;&gt;"",CHECKLIST!AC59,"")</f>
        <v/>
      </c>
      <c r="L82" s="1">
        <v>46219</v>
      </c>
      <c r="M82" s="1">
        <v>46219</v>
      </c>
    </row>
    <row r="83" spans="1:13" x14ac:dyDescent="0.3">
      <c r="A83">
        <v>49</v>
      </c>
      <c r="B83" t="s">
        <v>26</v>
      </c>
      <c r="C83" t="s">
        <v>27</v>
      </c>
      <c r="D83" s="56">
        <f>IF(CHECKLIST!H60&lt;&gt;"",CHECKLIST!H60,"")</f>
        <v>14</v>
      </c>
      <c r="E83" s="2">
        <v>46357</v>
      </c>
      <c r="F83" s="2">
        <v>46357</v>
      </c>
      <c r="G83" s="3" t="str">
        <f>IF(CHECKLIST!Y60&lt;&gt;"",CHECKLIST!Y60,"")</f>
        <v/>
      </c>
      <c r="H83">
        <f>IF(CHECKLIST!U60,1,0)</f>
        <v>0</v>
      </c>
      <c r="I83" s="3" t="str">
        <f>IF(CHECKLIST!AB60&lt;&gt;"",CHECKLIST!AB60,"")</f>
        <v/>
      </c>
      <c r="J83" s="3" t="str">
        <f ca="1">CHECKLIST!Z60</f>
        <v>NOT STARTED</v>
      </c>
      <c r="K83" s="3" t="str">
        <f>IF(CHECKLIST!AC60&lt;&gt;"",CHECKLIST!AC60,"")</f>
        <v/>
      </c>
      <c r="L83" s="1">
        <v>46219</v>
      </c>
      <c r="M83" s="1">
        <v>46219</v>
      </c>
    </row>
    <row r="84" spans="1:13" x14ac:dyDescent="0.3">
      <c r="A84">
        <v>43</v>
      </c>
      <c r="B84" t="s">
        <v>13</v>
      </c>
      <c r="C84" t="s">
        <v>15</v>
      </c>
      <c r="D84" s="56">
        <f>IF(CHECKLIST!H61&lt;&gt;"",CHECKLIST!H61,"")</f>
        <v>4</v>
      </c>
      <c r="E84" s="2">
        <v>46054</v>
      </c>
      <c r="F84" s="2">
        <v>46054</v>
      </c>
      <c r="G84" s="3" t="str">
        <f>IF(CHECKLIST!Y61&lt;&gt;"",CHECKLIST!Y61,"")</f>
        <v/>
      </c>
      <c r="H84">
        <f>IF(CHECKLIST!U61,1,0)</f>
        <v>1</v>
      </c>
      <c r="I84" s="3" t="str">
        <f>IF(CHECKLIST!AB61&lt;&gt;"",CHECKLIST!AB61,"")</f>
        <v/>
      </c>
      <c r="J84" s="3" t="str">
        <f ca="1">CHECKLIST!Z61</f>
        <v>ON TRACK</v>
      </c>
      <c r="K84" s="3" t="str">
        <f>IF(CHECKLIST!AC61&lt;&gt;"",CHECKLIST!AC61,"")</f>
        <v/>
      </c>
      <c r="L84" s="1">
        <v>46219</v>
      </c>
      <c r="M84" s="1">
        <v>46219</v>
      </c>
    </row>
    <row r="85" spans="1:13" x14ac:dyDescent="0.3">
      <c r="A85">
        <v>43</v>
      </c>
      <c r="B85" t="s">
        <v>26</v>
      </c>
      <c r="C85" t="s">
        <v>18</v>
      </c>
      <c r="D85" s="56">
        <f>IF(CHECKLIST!H62&lt;&gt;"",CHECKLIST!H62,"")</f>
        <v>13</v>
      </c>
      <c r="E85" s="2">
        <v>46296</v>
      </c>
      <c r="F85" s="2">
        <v>46327</v>
      </c>
      <c r="G85" s="3">
        <f>IF(CHECKLIST!Y62&lt;&gt;"",CHECKLIST!Y62,"")</f>
        <v>46091</v>
      </c>
      <c r="H85">
        <f>IF(CHECKLIST!U62,1,0)</f>
        <v>1</v>
      </c>
      <c r="I85" s="3" t="str">
        <f>IF(CHECKLIST!AB62&lt;&gt;"",CHECKLIST!AB62,"")</f>
        <v/>
      </c>
      <c r="J85" s="3" t="str">
        <f ca="1">CHECKLIST!Z62</f>
        <v>AHEAD</v>
      </c>
      <c r="K85" s="3" t="str">
        <f>IF(CHECKLIST!AC62&lt;&gt;"",CHECKLIST!AC62,"")</f>
        <v/>
      </c>
      <c r="L85" s="1">
        <v>46219</v>
      </c>
      <c r="M85" s="1">
        <v>46219</v>
      </c>
    </row>
    <row r="86" spans="1:13" x14ac:dyDescent="0.3">
      <c r="A86">
        <v>43</v>
      </c>
      <c r="B86" t="s">
        <v>26</v>
      </c>
      <c r="C86" t="s">
        <v>27</v>
      </c>
      <c r="D86" s="56">
        <f>IF(CHECKLIST!H63&lt;&gt;"",CHECKLIST!H63,"")</f>
        <v>14</v>
      </c>
      <c r="E86" s="2">
        <v>46357</v>
      </c>
      <c r="F86" s="2">
        <v>46357</v>
      </c>
      <c r="G86" s="3" t="str">
        <f>IF(CHECKLIST!Y63&lt;&gt;"",CHECKLIST!Y63,"")</f>
        <v/>
      </c>
      <c r="H86">
        <f>IF(CHECKLIST!U63,1,0)</f>
        <v>1</v>
      </c>
      <c r="I86" s="3" t="str">
        <f>IF(CHECKLIST!AB63&lt;&gt;"",CHECKLIST!AB63,"")</f>
        <v/>
      </c>
      <c r="J86" s="3" t="str">
        <f ca="1">CHECKLIST!Z63</f>
        <v>AHEAD</v>
      </c>
      <c r="K86" s="3" t="str">
        <f>IF(CHECKLIST!AC63&lt;&gt;"",CHECKLIST!AC63,"")</f>
        <v/>
      </c>
      <c r="L86" s="1">
        <v>46219</v>
      </c>
      <c r="M86" s="1">
        <v>46219</v>
      </c>
    </row>
    <row r="87" spans="1:13" x14ac:dyDescent="0.3">
      <c r="A87">
        <v>46</v>
      </c>
      <c r="B87" t="s">
        <v>26</v>
      </c>
      <c r="C87" t="s">
        <v>18</v>
      </c>
      <c r="D87" s="56">
        <f>IF(CHECKLIST!H65&lt;&gt;"",CHECKLIST!H64,"")</f>
        <v>4</v>
      </c>
      <c r="E87" s="2">
        <v>46296</v>
      </c>
      <c r="F87" s="2">
        <v>46327</v>
      </c>
      <c r="G87" s="3" t="str">
        <f>IF(CHECKLIST!Y65&lt;&gt;"",CHECKLIST!Y64,"")</f>
        <v/>
      </c>
      <c r="H87">
        <f>IF(CHECKLIST!U65,1,0)</f>
        <v>0</v>
      </c>
      <c r="I87" s="3" t="str">
        <f>IF(CHECKLIST!AB65&lt;&gt;"",CHECKLIST!AB64,"")</f>
        <v/>
      </c>
      <c r="J87" s="3" t="str">
        <f ca="1">CHECKLIST!Z64</f>
        <v/>
      </c>
      <c r="K87" s="3" t="str">
        <f>IF(CHECKLIST!AC65&lt;&gt;"",CHECKLIST!AC64,"")</f>
        <v/>
      </c>
      <c r="L87" s="1">
        <v>46219</v>
      </c>
      <c r="M87" s="1">
        <v>46219</v>
      </c>
    </row>
    <row r="88" spans="1:13" x14ac:dyDescent="0.3">
      <c r="A88">
        <v>46</v>
      </c>
      <c r="B88" t="s">
        <v>26</v>
      </c>
      <c r="C88" t="s">
        <v>27</v>
      </c>
      <c r="D88" s="56">
        <f>IF(CHECKLIST!H66&lt;&gt;"",CHECKLIST!H65,"")</f>
        <v>13</v>
      </c>
      <c r="E88" s="2">
        <v>46357</v>
      </c>
      <c r="F88" s="2">
        <v>46357</v>
      </c>
      <c r="G88" s="3" t="str">
        <f>IF(CHECKLIST!Y66&lt;&gt;"",CHECKLIST!Y65,"")</f>
        <v/>
      </c>
      <c r="H88">
        <f>IF(CHECKLIST!U66,1,0)</f>
        <v>0</v>
      </c>
      <c r="I88" s="3" t="str">
        <f>IF(CHECKLIST!AB66&lt;&gt;"",CHECKLIST!AB65,"")</f>
        <v/>
      </c>
      <c r="J88" s="3" t="str">
        <f ca="1">CHECKLIST!Z65</f>
        <v>NOT STARTED</v>
      </c>
      <c r="K88" s="3" t="str">
        <f>IF(CHECKLIST!AC66&lt;&gt;"",CHECKLIST!AC65,"")</f>
        <v/>
      </c>
      <c r="L88" s="1">
        <v>46219</v>
      </c>
      <c r="M88" s="1">
        <v>46219</v>
      </c>
    </row>
    <row r="89" spans="1:13" x14ac:dyDescent="0.3">
      <c r="A89">
        <v>51</v>
      </c>
      <c r="B89" t="s">
        <v>26</v>
      </c>
      <c r="C89" t="s">
        <v>18</v>
      </c>
      <c r="D89" s="56">
        <f>IF(CHECKLIST!H67&lt;&gt;"",CHECKLIST!H67,"")</f>
        <v>13</v>
      </c>
      <c r="E89" s="2">
        <v>46296</v>
      </c>
      <c r="F89" s="2">
        <v>46327</v>
      </c>
      <c r="G89" s="3" t="str">
        <f>IF(CHECKLIST!Y67&lt;&gt;"",CHECKLIST!Y67,"")</f>
        <v/>
      </c>
      <c r="H89">
        <f>IF(CHECKLIST!U67,1,0)</f>
        <v>0</v>
      </c>
      <c r="I89" s="3" t="str">
        <f>IF(CHECKLIST!AB67&lt;&gt;"",CHECKLIST!AB67,"")</f>
        <v/>
      </c>
      <c r="J89" s="3" t="str">
        <f ca="1">CHECKLIST!Z67</f>
        <v>NOT STARTED</v>
      </c>
      <c r="K89" s="3" t="str">
        <f>IF(CHECKLIST!AC67&lt;&gt;"",CHECKLIST!AC67,"")</f>
        <v/>
      </c>
      <c r="L89" s="1">
        <v>46219</v>
      </c>
      <c r="M89" s="1">
        <v>46219</v>
      </c>
    </row>
    <row r="90" spans="1:13" x14ac:dyDescent="0.3">
      <c r="A90">
        <v>51</v>
      </c>
      <c r="B90" t="s">
        <v>26</v>
      </c>
      <c r="C90" t="s">
        <v>27</v>
      </c>
      <c r="D90" s="56">
        <f>IF(CHECKLIST!H68&lt;&gt;"",CHECKLIST!H68,"")</f>
        <v>14</v>
      </c>
      <c r="E90" s="2">
        <v>46357</v>
      </c>
      <c r="F90" s="2">
        <v>46357</v>
      </c>
      <c r="G90" s="3" t="str">
        <f>IF(CHECKLIST!Y68&lt;&gt;"",CHECKLIST!Y68,"")</f>
        <v/>
      </c>
      <c r="H90">
        <f>IF(CHECKLIST!U68,1,0)</f>
        <v>0</v>
      </c>
      <c r="I90" s="3" t="str">
        <f>IF(CHECKLIST!AB68&lt;&gt;"",CHECKLIST!AB68,"")</f>
        <v/>
      </c>
      <c r="J90" s="3" t="str">
        <f ca="1">CHECKLIST!Z68</f>
        <v>NOT STARTED</v>
      </c>
      <c r="K90" s="3" t="str">
        <f>IF(CHECKLIST!AC68&lt;&gt;"",CHECKLIST!AC68,"")</f>
        <v/>
      </c>
      <c r="L90" s="1">
        <v>46219</v>
      </c>
      <c r="M90" s="1">
        <v>46219</v>
      </c>
    </row>
    <row r="91" spans="1:13" x14ac:dyDescent="0.3">
      <c r="A91">
        <v>18</v>
      </c>
      <c r="B91" t="s">
        <v>13</v>
      </c>
      <c r="C91" t="s">
        <v>14</v>
      </c>
      <c r="D91" s="56">
        <f>IF(CHECKLIST!H69&lt;&gt;"",CHECKLIST!H69,"")</f>
        <v>5</v>
      </c>
      <c r="E91" s="2">
        <v>46174</v>
      </c>
      <c r="F91" s="2">
        <v>46174</v>
      </c>
      <c r="G91" s="3">
        <f>IF(CHECKLIST!Y69&lt;&gt;"",CHECKLIST!Y69,"")</f>
        <v>46212</v>
      </c>
      <c r="H91">
        <f>IF(CHECKLIST!U69,1,0)</f>
        <v>1</v>
      </c>
      <c r="I91" s="3" t="str">
        <f>IF(CHECKLIST!AB69&lt;&gt;"",CHECKLIST!AB69,"")</f>
        <v/>
      </c>
      <c r="J91" s="3" t="str">
        <f ca="1">CHECKLIST!Z69</f>
        <v>ON TRACK</v>
      </c>
      <c r="K91" s="3" t="str">
        <f>IF(CHECKLIST!AC69&lt;&gt;"",CHECKLIST!AC69,"")</f>
        <v/>
      </c>
      <c r="L91" s="1">
        <v>46219</v>
      </c>
      <c r="M91" s="1">
        <v>46219</v>
      </c>
    </row>
    <row r="92" spans="1:13" x14ac:dyDescent="0.3">
      <c r="A92">
        <v>18</v>
      </c>
      <c r="B92" t="s">
        <v>13</v>
      </c>
      <c r="C92" t="s">
        <v>15</v>
      </c>
      <c r="D92" s="56">
        <f>IF(CHECKLIST!H70&lt;&gt;"",CHECKLIST!H70,"")</f>
        <v>4</v>
      </c>
      <c r="E92" s="2">
        <v>46266</v>
      </c>
      <c r="F92" s="2">
        <v>46266</v>
      </c>
      <c r="G92" s="3">
        <f>IF(CHECKLIST!Y70&lt;&gt;"",CHECKLIST!Y70,"")</f>
        <v>46231</v>
      </c>
      <c r="H92">
        <f>IF(CHECKLIST!U70,1,0)</f>
        <v>1</v>
      </c>
      <c r="I92" s="3" t="str">
        <f>IF(CHECKLIST!AB70&lt;&gt;"",CHECKLIST!AB70,"")</f>
        <v/>
      </c>
      <c r="J92" s="3" t="str">
        <f ca="1">CHECKLIST!Z70</f>
        <v>ON TRACK</v>
      </c>
      <c r="K92" s="3" t="str">
        <f>IF(CHECKLIST!AC70&lt;&gt;"",CHECKLIST!AC70,"")</f>
        <v/>
      </c>
      <c r="L92" s="1">
        <v>46219</v>
      </c>
      <c r="M92" s="1">
        <v>46219</v>
      </c>
    </row>
    <row r="93" spans="1:13" x14ac:dyDescent="0.3">
      <c r="A93">
        <v>18</v>
      </c>
      <c r="B93" t="s">
        <v>13</v>
      </c>
      <c r="C93" t="s">
        <v>16</v>
      </c>
      <c r="D93" s="56">
        <f>IF(CHECKLIST!H71&lt;&gt;"",CHECKLIST!H71,"")</f>
        <v>6</v>
      </c>
      <c r="E93" s="2">
        <v>46357</v>
      </c>
      <c r="F93" s="2">
        <v>46357</v>
      </c>
      <c r="G93" s="3" t="str">
        <f>IF(CHECKLIST!Y71&lt;&gt;"",CHECKLIST!Y71,"")</f>
        <v/>
      </c>
      <c r="H93">
        <f>IF(CHECKLIST!U71,1,0)</f>
        <v>0</v>
      </c>
      <c r="I93" s="3" t="str">
        <f>IF(CHECKLIST!AB71&lt;&gt;"",CHECKLIST!AB71,"")</f>
        <v/>
      </c>
      <c r="J93" s="3" t="str">
        <f ca="1">CHECKLIST!Z71</f>
        <v>NOT STARTED</v>
      </c>
      <c r="K93" s="3" t="str">
        <f>IF(CHECKLIST!AC71&lt;&gt;"",CHECKLIST!AC71,"")</f>
        <v/>
      </c>
      <c r="L93" s="1">
        <v>46219</v>
      </c>
      <c r="M93" s="1">
        <v>46219</v>
      </c>
    </row>
    <row r="94" spans="1:13" x14ac:dyDescent="0.3">
      <c r="A94">
        <v>18</v>
      </c>
      <c r="B94" t="s">
        <v>20</v>
      </c>
      <c r="C94" t="s">
        <v>18</v>
      </c>
      <c r="D94" s="56">
        <f>IF(CHECKLIST!H72&lt;&gt;"",CHECKLIST!H72,"")</f>
        <v>11</v>
      </c>
      <c r="E94" s="2">
        <v>46113</v>
      </c>
      <c r="F94" s="2">
        <v>46204</v>
      </c>
      <c r="G94" s="3">
        <f>IF(CHECKLIST!Y72&lt;&gt;"",CHECKLIST!Y72,"")</f>
        <v>46122</v>
      </c>
      <c r="H94">
        <f>IF(CHECKLIST!U72,1,0)</f>
        <v>1</v>
      </c>
      <c r="I94" s="3" t="str">
        <f>IF(CHECKLIST!AB72&lt;&gt;"",CHECKLIST!AB72,"")</f>
        <v>28/62/DPAN-GPAN1/M.01/B</v>
      </c>
      <c r="J94" s="3" t="str">
        <f ca="1">CHECKLIST!Z72</f>
        <v>ON TRACK</v>
      </c>
      <c r="K94" s="3" t="str">
        <f>IF(CHECKLIST!AC72&lt;&gt;"",CHECKLIST!AC72,"")</f>
        <v>Gabung Fasos &amp; Gd. E</v>
      </c>
      <c r="L94" s="1">
        <v>46219</v>
      </c>
      <c r="M94" s="1">
        <v>46219</v>
      </c>
    </row>
    <row r="95" spans="1:13" x14ac:dyDescent="0.3">
      <c r="A95">
        <v>18</v>
      </c>
      <c r="B95" t="s">
        <v>17</v>
      </c>
      <c r="C95" t="s">
        <v>19</v>
      </c>
      <c r="D95" s="56">
        <f>IF(CHECKLIST!H73&lt;&gt;"",CHECKLIST!H73,"")</f>
        <v>10</v>
      </c>
      <c r="E95" s="2">
        <v>46113</v>
      </c>
      <c r="F95" s="2">
        <v>46327</v>
      </c>
      <c r="G95" s="3">
        <f>IF(CHECKLIST!Y73&lt;&gt;"",CHECKLIST!Y73,"")</f>
        <v>46128</v>
      </c>
      <c r="H95">
        <f>IF(CHECKLIST!U73,1,0)</f>
        <v>1</v>
      </c>
      <c r="I95" s="3" t="str">
        <f>IF(CHECKLIST!AB73&lt;&gt;"",CHECKLIST!AB73,"")</f>
        <v>28/45/DMAP-GPPS/Srt/B</v>
      </c>
      <c r="J95" s="3" t="str">
        <f ca="1">CHECKLIST!Z73</f>
        <v>ON TRACK</v>
      </c>
      <c r="K95" s="3" t="str">
        <f>IF(CHECKLIST!AC73&lt;&gt;"",CHECKLIST!AC73,"")</f>
        <v>Kick Off: 17 Apr 2026</v>
      </c>
      <c r="L95" s="1">
        <v>46219</v>
      </c>
      <c r="M95" s="1">
        <v>46219</v>
      </c>
    </row>
    <row r="96" spans="1:13" x14ac:dyDescent="0.3">
      <c r="A96">
        <v>18</v>
      </c>
      <c r="B96" t="s">
        <v>20</v>
      </c>
      <c r="C96" t="s">
        <v>19</v>
      </c>
      <c r="D96" s="56">
        <f>IF(CHECKLIST!H74&lt;&gt;"",CHECKLIST!H74,"")</f>
        <v>12</v>
      </c>
      <c r="E96" s="2">
        <v>46235</v>
      </c>
      <c r="F96" s="2">
        <v>46235</v>
      </c>
      <c r="G96" s="3">
        <f>IF(CHECKLIST!Y74&lt;&gt;"",CHECKLIST!Y74,"")</f>
        <v>46225</v>
      </c>
      <c r="H96">
        <f>IF(CHECKLIST!U74,1,0)</f>
        <v>1</v>
      </c>
      <c r="I96" s="3" t="str">
        <f>IF(CHECKLIST!AB74&lt;&gt;"",CHECKLIST!AB74,"")</f>
        <v/>
      </c>
      <c r="J96" s="3" t="str">
        <f ca="1">CHECKLIST!Z74</f>
        <v>ON TRACK</v>
      </c>
      <c r="K96" s="3" t="str">
        <f>IF(CHECKLIST!AC74&lt;&gt;"",CHECKLIST!AC74,"")</f>
        <v/>
      </c>
      <c r="L96" s="1">
        <v>46219</v>
      </c>
      <c r="M96" s="1">
        <v>46219</v>
      </c>
    </row>
    <row r="97" spans="1:13" x14ac:dyDescent="0.3">
      <c r="A97">
        <v>55</v>
      </c>
      <c r="B97" t="s">
        <v>22</v>
      </c>
      <c r="C97" s="8" t="s">
        <v>30</v>
      </c>
      <c r="D97" s="56">
        <f>IF(CHECKLIST!H75&lt;&gt;"",CHECKLIST!H75,"")</f>
        <v>1</v>
      </c>
      <c r="E97" s="2">
        <v>46023</v>
      </c>
      <c r="F97" s="2">
        <v>46357</v>
      </c>
      <c r="G97" s="3" t="str">
        <f>IF(CHECKLIST!Y75&lt;&gt;"",CHECKLIST!Y75,"")</f>
        <v/>
      </c>
      <c r="H97">
        <f>IF(CHECKLIST!U75,1,0)</f>
        <v>1</v>
      </c>
      <c r="I97" s="3" t="str">
        <f>IF(CHECKLIST!AB75&lt;&gt;"",CHECKLIST!AB75,"")</f>
        <v/>
      </c>
      <c r="J97" s="3" t="str">
        <f ca="1">CHECKLIST!Z75</f>
        <v>ON TRACK</v>
      </c>
      <c r="K97" s="3" t="str">
        <f>IF(CHECKLIST!AC75&lt;&gt;"",CHECKLIST!AC75,"")</f>
        <v/>
      </c>
      <c r="L97" s="1">
        <v>46219</v>
      </c>
      <c r="M97" s="1">
        <v>46219</v>
      </c>
    </row>
    <row r="98" spans="1:13" x14ac:dyDescent="0.3">
      <c r="A98">
        <v>56</v>
      </c>
      <c r="B98" t="s">
        <v>13</v>
      </c>
      <c r="C98" t="s">
        <v>15</v>
      </c>
      <c r="D98" s="56">
        <f>IF(CHECKLIST!H76&lt;&gt;"",CHECKLIST!H76,"")</f>
        <v>4</v>
      </c>
      <c r="E98" s="2">
        <v>46143</v>
      </c>
      <c r="F98" s="2">
        <v>46173</v>
      </c>
      <c r="G98" s="3">
        <f>IF(CHECKLIST!Y76&lt;&gt;"",CHECKLIST!Y76,"")</f>
        <v>46248</v>
      </c>
      <c r="H98">
        <f>IF(CHECKLIST!U76,1,0)</f>
        <v>1</v>
      </c>
      <c r="I98" s="3" t="str">
        <f>IF(CHECKLIST!AB76&lt;&gt;"",CHECKLIST!AB76,"")</f>
        <v/>
      </c>
      <c r="J98" s="3" t="str">
        <f ca="1">CHECKLIST!Z76</f>
        <v>ON TRACK</v>
      </c>
      <c r="K98" s="3" t="str">
        <f>IF(CHECKLIST!AC76&lt;&gt;"",CHECKLIST!AC76,"")</f>
        <v/>
      </c>
      <c r="L98" s="1">
        <v>46219</v>
      </c>
      <c r="M98" s="1">
        <v>46219</v>
      </c>
    </row>
    <row r="99" spans="1:13" x14ac:dyDescent="0.3">
      <c r="A99">
        <v>56</v>
      </c>
      <c r="B99" t="s">
        <v>13</v>
      </c>
      <c r="C99" t="s">
        <v>16</v>
      </c>
      <c r="D99" s="56">
        <f>IF(CHECKLIST!H77&lt;&gt;"",CHECKLIST!H77,"")</f>
        <v>6</v>
      </c>
      <c r="E99" s="2">
        <v>46235</v>
      </c>
      <c r="F99" s="2">
        <v>46235</v>
      </c>
      <c r="G99" s="3" t="str">
        <f>IF(CHECKLIST!Y77&lt;&gt;"",CHECKLIST!Y77,"")</f>
        <v/>
      </c>
      <c r="H99">
        <f>IF(CHECKLIST!U77,1,0)</f>
        <v>0</v>
      </c>
      <c r="I99" s="3" t="str">
        <f>IF(CHECKLIST!AB77&lt;&gt;"",CHECKLIST!AB77,"")</f>
        <v/>
      </c>
      <c r="J99" s="3" t="str">
        <f ca="1">CHECKLIST!Z77</f>
        <v>BEHIND</v>
      </c>
      <c r="K99" s="3" t="str">
        <f>IF(CHECKLIST!AC77&lt;&gt;"",CHECKLIST!AC77,"")</f>
        <v/>
      </c>
      <c r="L99" s="1">
        <v>46219</v>
      </c>
      <c r="M99" s="1">
        <v>46219</v>
      </c>
    </row>
    <row r="100" spans="1:13" x14ac:dyDescent="0.3">
      <c r="A100">
        <v>56</v>
      </c>
      <c r="B100" t="s">
        <v>20</v>
      </c>
      <c r="C100" t="s">
        <v>18</v>
      </c>
      <c r="D100" s="56">
        <f>IF(CHECKLIST!H78&lt;&gt;"",CHECKLIST!H78,"")</f>
        <v>11</v>
      </c>
      <c r="E100" s="2">
        <v>46054</v>
      </c>
      <c r="F100" s="2">
        <v>46113</v>
      </c>
      <c r="G100" s="3">
        <f>IF(CHECKLIST!Y78&lt;&gt;"",CHECKLIST!Y78,"")</f>
        <v>46051</v>
      </c>
      <c r="H100">
        <f>IF(CHECKLIST!U78,1,0)</f>
        <v>1</v>
      </c>
      <c r="I100" s="3" t="str">
        <f>IF(CHECKLIST!AB78&lt;&gt;"",CHECKLIST!AB78,"")</f>
        <v/>
      </c>
      <c r="J100" s="3" t="str">
        <f ca="1">CHECKLIST!Z78</f>
        <v>ON TRACK</v>
      </c>
      <c r="K100" s="3" t="str">
        <f>IF(CHECKLIST!AC78&lt;&gt;"",CHECKLIST!AC78,"")</f>
        <v/>
      </c>
      <c r="L100" s="1">
        <v>46219</v>
      </c>
      <c r="M100" s="1">
        <v>46219</v>
      </c>
    </row>
    <row r="101" spans="1:13" x14ac:dyDescent="0.3">
      <c r="A101">
        <v>56</v>
      </c>
      <c r="B101" t="s">
        <v>21</v>
      </c>
      <c r="C101" t="s">
        <v>18</v>
      </c>
      <c r="D101" s="56">
        <f>IF(CHECKLIST!H79&lt;&gt;"",CHECKLIST!H79,"")</f>
        <v>7</v>
      </c>
      <c r="E101" s="2">
        <v>46235</v>
      </c>
      <c r="F101" s="2">
        <v>46327</v>
      </c>
      <c r="G101" s="3" t="str">
        <f>IF(CHECKLIST!Y79&lt;&gt;"",CHECKLIST!Y79,"")</f>
        <v/>
      </c>
      <c r="H101">
        <f>IF(CHECKLIST!U79,1,0)</f>
        <v>0</v>
      </c>
      <c r="I101" s="3" t="str">
        <f>IF(CHECKLIST!AB79&lt;&gt;"",CHECKLIST!AB79,"")</f>
        <v/>
      </c>
      <c r="J101" s="3" t="str">
        <f ca="1">CHECKLIST!Z79</f>
        <v>BEHIND</v>
      </c>
      <c r="K101" s="3" t="str">
        <f>IF(CHECKLIST!AC79&lt;&gt;"",CHECKLIST!AC79,"")</f>
        <v/>
      </c>
      <c r="L101" s="1">
        <v>46219</v>
      </c>
      <c r="M101" s="1">
        <v>46219</v>
      </c>
    </row>
    <row r="102" spans="1:13" x14ac:dyDescent="0.3">
      <c r="A102">
        <v>56</v>
      </c>
      <c r="B102" t="s">
        <v>17</v>
      </c>
      <c r="C102" t="s">
        <v>19</v>
      </c>
      <c r="D102" s="56">
        <f>IF(CHECKLIST!H80&lt;&gt;"",CHECKLIST!H80,"")</f>
        <v>10</v>
      </c>
      <c r="E102" s="2">
        <v>46143</v>
      </c>
      <c r="F102" s="2">
        <v>46204</v>
      </c>
      <c r="G102" s="3">
        <f>IF(CHECKLIST!Y80&lt;&gt;"",CHECKLIST!Y80,"")</f>
        <v>46148</v>
      </c>
      <c r="H102">
        <f>IF(CHECKLIST!U80,1,0)</f>
        <v>1</v>
      </c>
      <c r="I102" s="3" t="str">
        <f>IF(CHECKLIST!AB80&lt;&gt;"",CHECKLIST!AB80,"")</f>
        <v>28/53/DMAP-GPPS/Srt/B</v>
      </c>
      <c r="J102" s="3" t="str">
        <f ca="1">CHECKLIST!Z80</f>
        <v>ON TRACK</v>
      </c>
      <c r="K102" s="3" t="str">
        <f>IF(CHECKLIST!AC80&lt;&gt;"",CHECKLIST!AC80,"")</f>
        <v/>
      </c>
      <c r="L102" s="1">
        <v>46219</v>
      </c>
      <c r="M102" s="1">
        <v>46219</v>
      </c>
    </row>
    <row r="103" spans="1:13" x14ac:dyDescent="0.3">
      <c r="A103">
        <v>56</v>
      </c>
      <c r="B103" t="s">
        <v>20</v>
      </c>
      <c r="C103" t="s">
        <v>19</v>
      </c>
      <c r="D103" s="56">
        <f>IF(CHECKLIST!H81&lt;&gt;"",CHECKLIST!H81,"")</f>
        <v>12</v>
      </c>
      <c r="E103" s="2">
        <v>46143</v>
      </c>
      <c r="F103" s="2">
        <v>46368</v>
      </c>
      <c r="G103" s="3">
        <f>IF(CHECKLIST!Y81&lt;&gt;"",CHECKLIST!Y81,"")</f>
        <v>46191</v>
      </c>
      <c r="H103">
        <f>IF(CHECKLIST!U81,1,0)</f>
        <v>1</v>
      </c>
      <c r="I103" s="3" t="str">
        <f>IF(CHECKLIST!AB81&lt;&gt;"",CHECKLIST!AB81,"")</f>
        <v>28/66/DMAP-GPPS/Srt/B</v>
      </c>
      <c r="J103" s="3" t="str">
        <f ca="1">CHECKLIST!Z81</f>
        <v>ON TRACK</v>
      </c>
      <c r="K103" s="3" t="str">
        <f>IF(CHECKLIST!AC81&lt;&gt;"",CHECKLIST!AC81,"")</f>
        <v>28/66/DMAP-GPPS/Srt/B
kontrak 28/383/DMAP/P/B 18 JUNI 26
PT Ciriajasa Cipta Mandiri
4,281,573,000 (no ppn)
4,752,546,030 (ppn)</v>
      </c>
      <c r="L103" s="1">
        <v>46219</v>
      </c>
      <c r="M103" s="1">
        <v>46219</v>
      </c>
    </row>
    <row r="104" spans="1:13" x14ac:dyDescent="0.3">
      <c r="A104">
        <v>56</v>
      </c>
      <c r="B104" t="s">
        <v>21</v>
      </c>
      <c r="C104" t="s">
        <v>19</v>
      </c>
      <c r="D104" s="56">
        <f>IF(CHECKLIST!H82&lt;&gt;"",CHECKLIST!H82,"")</f>
        <v>8</v>
      </c>
      <c r="E104" s="2">
        <v>46357</v>
      </c>
      <c r="F104" s="2">
        <v>46357</v>
      </c>
      <c r="G104" s="3" t="str">
        <f>IF(CHECKLIST!Y82&lt;&gt;"",CHECKLIST!Y82,"")</f>
        <v/>
      </c>
      <c r="H104">
        <f>IF(CHECKLIST!U82,1,0)</f>
        <v>0</v>
      </c>
      <c r="I104" s="3" t="str">
        <f>IF(CHECKLIST!AB82&lt;&gt;"",CHECKLIST!AB82,"")</f>
        <v/>
      </c>
      <c r="J104" s="3" t="str">
        <f ca="1">CHECKLIST!Z82</f>
        <v>NOT STARTED</v>
      </c>
      <c r="K104" s="3" t="str">
        <f>IF(CHECKLIST!AC82&lt;&gt;"",CHECKLIST!AC82,"")</f>
        <v/>
      </c>
      <c r="L104" s="1">
        <v>46219</v>
      </c>
      <c r="M104" s="1">
        <v>46219</v>
      </c>
    </row>
    <row r="105" spans="1:13" x14ac:dyDescent="0.3">
      <c r="A105">
        <v>22</v>
      </c>
      <c r="B105" t="s">
        <v>13</v>
      </c>
      <c r="C105" t="s">
        <v>15</v>
      </c>
      <c r="D105" s="56">
        <f>IF(CHECKLIST!H83&lt;&gt;"",CHECKLIST!H83,"")</f>
        <v>4</v>
      </c>
      <c r="E105" s="2">
        <v>46054</v>
      </c>
      <c r="F105" s="2">
        <v>46054</v>
      </c>
      <c r="G105" s="3">
        <f>IF(CHECKLIST!Y83&lt;&gt;"",CHECKLIST!Y83,"")</f>
        <v>46059</v>
      </c>
      <c r="H105">
        <f>IF(CHECKLIST!U83,1,0)</f>
        <v>1</v>
      </c>
      <c r="I105" s="3" t="str">
        <f>IF(CHECKLIST!AB83&lt;&gt;"",CHECKLIST!AB83,"")</f>
        <v/>
      </c>
      <c r="J105" s="3" t="str">
        <f ca="1">CHECKLIST!Z83</f>
        <v>ON TRACK</v>
      </c>
      <c r="K105" s="3" t="str">
        <f>IF(CHECKLIST!AC83&lt;&gt;"",CHECKLIST!AC83,"")</f>
        <v/>
      </c>
      <c r="L105" s="1">
        <v>46219</v>
      </c>
      <c r="M105" s="1">
        <v>46219</v>
      </c>
    </row>
    <row r="106" spans="1:13" x14ac:dyDescent="0.3">
      <c r="A106">
        <v>22</v>
      </c>
      <c r="B106" t="s">
        <v>13</v>
      </c>
      <c r="C106" t="s">
        <v>16</v>
      </c>
      <c r="D106" s="56">
        <f>IF(CHECKLIST!H84&lt;&gt;"",CHECKLIST!H84,"")</f>
        <v>6</v>
      </c>
      <c r="E106" s="2">
        <v>46054</v>
      </c>
      <c r="F106" s="2">
        <v>46054</v>
      </c>
      <c r="G106" s="3">
        <f>IF(CHECKLIST!Y84&lt;&gt;"",CHECKLIST!Y84,"")</f>
        <v>46108</v>
      </c>
      <c r="H106">
        <f>IF(CHECKLIST!U84,1,0)</f>
        <v>1</v>
      </c>
      <c r="I106" s="3" t="str">
        <f>IF(CHECKLIST!AB84&lt;&gt;"",CHECKLIST!AB84,"")</f>
        <v/>
      </c>
      <c r="J106" s="3" t="str">
        <f ca="1">CHECKLIST!Z84</f>
        <v>ON TRACK</v>
      </c>
      <c r="K106" s="3" t="str">
        <f>IF(CHECKLIST!AC84&lt;&gt;"",CHECKLIST!AC84,"")</f>
        <v/>
      </c>
      <c r="L106" s="1">
        <v>46219</v>
      </c>
      <c r="M106" s="1">
        <v>46219</v>
      </c>
    </row>
    <row r="107" spans="1:13" x14ac:dyDescent="0.3">
      <c r="A107">
        <v>22</v>
      </c>
      <c r="B107" t="s">
        <v>21</v>
      </c>
      <c r="C107" t="s">
        <v>18</v>
      </c>
      <c r="D107" s="56">
        <f>IF(CHECKLIST!H85&lt;&gt;"",CHECKLIST!H85,"")</f>
        <v>7</v>
      </c>
      <c r="E107" s="2">
        <v>46054</v>
      </c>
      <c r="F107" s="2">
        <v>46143</v>
      </c>
      <c r="G107" s="3">
        <f>IF(CHECKLIST!Y85&lt;&gt;"",CHECKLIST!Y85,"")</f>
        <v>46108</v>
      </c>
      <c r="H107">
        <f>IF(CHECKLIST!U85,1,0)</f>
        <v>1</v>
      </c>
      <c r="I107" s="3" t="str">
        <f>IF(CHECKLIST!AB85&lt;&gt;"",CHECKLIST!AB85,"")</f>
        <v/>
      </c>
      <c r="J107" s="3" t="str">
        <f ca="1">CHECKLIST!Z85</f>
        <v>ON TRACK</v>
      </c>
      <c r="K107" s="3" t="str">
        <f>IF(CHECKLIST!AC85&lt;&gt;"",CHECKLIST!AC85,"")</f>
        <v/>
      </c>
      <c r="L107" s="1">
        <v>46219</v>
      </c>
      <c r="M107" s="1">
        <v>46219</v>
      </c>
    </row>
    <row r="108" spans="1:13" x14ac:dyDescent="0.3">
      <c r="A108">
        <v>22</v>
      </c>
      <c r="B108" t="s">
        <v>17</v>
      </c>
      <c r="C108" t="s">
        <v>19</v>
      </c>
      <c r="D108" s="56">
        <f>IF(CHECKLIST!H86&lt;&gt;"",CHECKLIST!H86,"")</f>
        <v>10</v>
      </c>
      <c r="E108" s="2">
        <v>46023</v>
      </c>
      <c r="F108" s="2">
        <v>46023</v>
      </c>
      <c r="G108" s="3">
        <f>IF(CHECKLIST!Y86&lt;&gt;"",CHECKLIST!Y86,"")</f>
        <v>46028</v>
      </c>
      <c r="H108">
        <f>IF(CHECKLIST!U86,1,0)</f>
        <v>1</v>
      </c>
      <c r="I108" s="3" t="str">
        <f>IF(CHECKLIST!AB86&lt;&gt;"",CHECKLIST!AB86,"")</f>
        <v/>
      </c>
      <c r="J108" s="3" t="str">
        <f ca="1">CHECKLIST!Z86</f>
        <v>ON TRACK</v>
      </c>
      <c r="K108" s="3" t="str">
        <f>IF(CHECKLIST!AC86&lt;&gt;"",CHECKLIST!AC86,"")</f>
        <v/>
      </c>
      <c r="L108" s="1">
        <v>46219</v>
      </c>
      <c r="M108" s="1">
        <v>46219</v>
      </c>
    </row>
    <row r="109" spans="1:13" x14ac:dyDescent="0.3">
      <c r="A109">
        <v>22</v>
      </c>
      <c r="B109" t="s">
        <v>20</v>
      </c>
      <c r="C109" t="s">
        <v>19</v>
      </c>
      <c r="D109" s="56">
        <f>IF(CHECKLIST!H87&lt;&gt;"",CHECKLIST!H87,"")</f>
        <v>12</v>
      </c>
      <c r="E109" s="2">
        <v>46023</v>
      </c>
      <c r="F109" s="2">
        <v>46023</v>
      </c>
      <c r="G109" s="3">
        <f>IF(CHECKLIST!Y87&lt;&gt;"",CHECKLIST!Y87,"")</f>
        <v>46090</v>
      </c>
      <c r="H109">
        <f>IF(CHECKLIST!U87,1,0)</f>
        <v>1</v>
      </c>
      <c r="I109" s="3" t="str">
        <f>IF(CHECKLIST!AB87&lt;&gt;"",CHECKLIST!AB87,"")</f>
        <v/>
      </c>
      <c r="J109" s="3" t="str">
        <f ca="1">CHECKLIST!Z87</f>
        <v>ON TRACK</v>
      </c>
      <c r="K109" s="3" t="str">
        <f>IF(CHECKLIST!AC87&lt;&gt;"",CHECKLIST!AC87,"")</f>
        <v>No. SPPP 28/102/DMAP-GPPS-PBS/Srt/B
No. Kontrak 28/172/DMAP/P/B tgl 25 Mar 26
Nilai 1,506,985,000 (dgn PPN 1,672,753,350)</v>
      </c>
      <c r="L109" s="1">
        <v>46219</v>
      </c>
      <c r="M109" s="1">
        <v>46219</v>
      </c>
    </row>
    <row r="110" spans="1:13" x14ac:dyDescent="0.3">
      <c r="A110">
        <v>22</v>
      </c>
      <c r="B110" t="s">
        <v>21</v>
      </c>
      <c r="C110" t="s">
        <v>19</v>
      </c>
      <c r="D110" s="56">
        <f>IF(CHECKLIST!H88&lt;&gt;"",CHECKLIST!H88,"")</f>
        <v>8</v>
      </c>
      <c r="E110" s="2">
        <v>46174</v>
      </c>
      <c r="F110" s="2">
        <v>46174</v>
      </c>
      <c r="G110" s="3">
        <f>IF(CHECKLIST!Y88&lt;&gt;"",CHECKLIST!Y88,"")</f>
        <v>46237</v>
      </c>
      <c r="H110">
        <f>IF(CHECKLIST!U88,1,0)</f>
        <v>1</v>
      </c>
      <c r="I110" s="3" t="str">
        <f>IF(CHECKLIST!AB88&lt;&gt;"",CHECKLIST!AB88,"")</f>
        <v/>
      </c>
      <c r="J110" s="3" t="str">
        <f ca="1">CHECKLIST!Z88</f>
        <v>ON TRACK</v>
      </c>
      <c r="K110" s="3" t="str">
        <f>IF(CHECKLIST!AC88&lt;&gt;"",CHECKLIST!AC88,"")</f>
        <v/>
      </c>
      <c r="L110" s="1">
        <v>46219</v>
      </c>
      <c r="M110" s="1">
        <v>46219</v>
      </c>
    </row>
    <row r="111" spans="1:13" x14ac:dyDescent="0.3">
      <c r="A111">
        <v>22</v>
      </c>
      <c r="B111" t="s">
        <v>22</v>
      </c>
      <c r="C111" s="8" t="s">
        <v>30</v>
      </c>
      <c r="D111" s="56">
        <f>IF(CHECKLIST!H89&lt;&gt;"",CHECKLIST!H89,"")</f>
        <v>1</v>
      </c>
      <c r="E111" s="2">
        <v>46174</v>
      </c>
      <c r="F111" s="2">
        <v>46266</v>
      </c>
      <c r="G111" s="3" t="str">
        <f>IF(CHECKLIST!Y89&lt;&gt;"",CHECKLIST!Y89,"")</f>
        <v/>
      </c>
      <c r="H111">
        <f>IF(CHECKLIST!U89,1,0)</f>
        <v>0</v>
      </c>
      <c r="I111" s="3" t="str">
        <f>IF(CHECKLIST!AB89&lt;&gt;"",CHECKLIST!AB89,"")</f>
        <v/>
      </c>
      <c r="J111" s="3" t="str">
        <f ca="1">CHECKLIST!Z89</f>
        <v>BEHIND</v>
      </c>
      <c r="K111" s="3" t="str">
        <f>IF(CHECKLIST!AC89&lt;&gt;"",CHECKLIST!AC89,"")</f>
        <v/>
      </c>
      <c r="L111" s="1">
        <v>46219</v>
      </c>
      <c r="M111" s="1">
        <v>46219</v>
      </c>
    </row>
    <row r="112" spans="1:13" x14ac:dyDescent="0.3">
      <c r="A112">
        <v>31</v>
      </c>
      <c r="B112" t="s">
        <v>13</v>
      </c>
      <c r="C112" t="s">
        <v>15</v>
      </c>
      <c r="D112" s="56">
        <f>IF(CHECKLIST!H90&lt;&gt;"",CHECKLIST!H90,"")</f>
        <v>4</v>
      </c>
      <c r="E112" s="2">
        <v>46054</v>
      </c>
      <c r="F112" s="2">
        <v>46054</v>
      </c>
      <c r="G112" s="3">
        <f>IF(CHECKLIST!Y90&lt;&gt;"",CHECKLIST!Y90,"")</f>
        <v>46062</v>
      </c>
      <c r="H112">
        <f>IF(CHECKLIST!U90,1,0)</f>
        <v>1</v>
      </c>
      <c r="I112" s="3" t="str">
        <f>IF(CHECKLIST!AB90&lt;&gt;"",CHECKLIST!AB90,"")</f>
        <v/>
      </c>
      <c r="J112" s="3" t="str">
        <f ca="1">CHECKLIST!Z90</f>
        <v>ON TRACK</v>
      </c>
      <c r="K112" s="3" t="str">
        <f>IF(CHECKLIST!AC90&lt;&gt;"",CHECKLIST!AC90,"")</f>
        <v/>
      </c>
      <c r="L112" s="1">
        <v>46219</v>
      </c>
      <c r="M112" s="1">
        <v>46219</v>
      </c>
    </row>
    <row r="113" spans="1:13" x14ac:dyDescent="0.3">
      <c r="A113">
        <v>31</v>
      </c>
      <c r="B113" t="s">
        <v>13</v>
      </c>
      <c r="C113" t="s">
        <v>16</v>
      </c>
      <c r="D113" s="56">
        <f>IF(CHECKLIST!H91&lt;&gt;"",CHECKLIST!H91,"")</f>
        <v>6</v>
      </c>
      <c r="E113" s="2">
        <v>46054</v>
      </c>
      <c r="F113" s="2">
        <v>46054</v>
      </c>
      <c r="G113" s="3">
        <f>IF(CHECKLIST!Y91&lt;&gt;"",CHECKLIST!Y91,"")</f>
        <v>46080</v>
      </c>
      <c r="H113">
        <f>IF(CHECKLIST!U91,1,0)</f>
        <v>1</v>
      </c>
      <c r="I113" s="3" t="str">
        <f>IF(CHECKLIST!AB91&lt;&gt;"",CHECKLIST!AB91,"")</f>
        <v/>
      </c>
      <c r="J113" s="3" t="str">
        <f ca="1">CHECKLIST!Z91</f>
        <v>ON TRACK</v>
      </c>
      <c r="K113" s="3" t="str">
        <f>IF(CHECKLIST!AC91&lt;&gt;"",CHECKLIST!AC91,"")</f>
        <v/>
      </c>
      <c r="L113" s="1">
        <v>46219</v>
      </c>
      <c r="M113" s="1">
        <v>46219</v>
      </c>
    </row>
    <row r="114" spans="1:13" x14ac:dyDescent="0.3">
      <c r="A114">
        <v>31</v>
      </c>
      <c r="B114" t="s">
        <v>21</v>
      </c>
      <c r="C114" t="s">
        <v>18</v>
      </c>
      <c r="D114" s="56">
        <f>IF(CHECKLIST!H92&lt;&gt;"",CHECKLIST!H92,"")</f>
        <v>7</v>
      </c>
      <c r="E114" s="2">
        <v>46054</v>
      </c>
      <c r="F114" s="2">
        <v>46143</v>
      </c>
      <c r="G114" s="3">
        <f>IF(CHECKLIST!Y92&lt;&gt;"",CHECKLIST!Y92,"")</f>
        <v>46097</v>
      </c>
      <c r="H114">
        <f>IF(CHECKLIST!U92,1,0)</f>
        <v>1</v>
      </c>
      <c r="I114" s="3" t="str">
        <f>IF(CHECKLIST!AB92&lt;&gt;"",CHECKLIST!AB92,"")</f>
        <v/>
      </c>
      <c r="J114" s="3" t="str">
        <f ca="1">CHECKLIST!Z92</f>
        <v>ON TRACK</v>
      </c>
      <c r="K114" s="3" t="str">
        <f>IF(CHECKLIST!AC92&lt;&gt;"",CHECKLIST!AC92,"")</f>
        <v/>
      </c>
      <c r="L114" s="1">
        <v>46219</v>
      </c>
      <c r="M114" s="1">
        <v>46219</v>
      </c>
    </row>
    <row r="115" spans="1:13" x14ac:dyDescent="0.3">
      <c r="A115">
        <v>31</v>
      </c>
      <c r="B115" t="s">
        <v>17</v>
      </c>
      <c r="C115" t="s">
        <v>19</v>
      </c>
      <c r="D115" s="56">
        <f>IF(CHECKLIST!H93&lt;&gt;"",CHECKLIST!H93,"")</f>
        <v>10</v>
      </c>
      <c r="E115" s="2">
        <v>46023</v>
      </c>
      <c r="F115" s="2">
        <v>46023</v>
      </c>
      <c r="G115" s="3">
        <f>IF(CHECKLIST!Y93&lt;&gt;"",CHECKLIST!Y93,"")</f>
        <v>46028</v>
      </c>
      <c r="H115">
        <f>IF(CHECKLIST!U93,1,0)</f>
        <v>1</v>
      </c>
      <c r="I115" s="3" t="str">
        <f>IF(CHECKLIST!AB93&lt;&gt;"",CHECKLIST!AB93,"")</f>
        <v>28/1/DMAP-GPPS-PBS/Srt/B</v>
      </c>
      <c r="J115" s="3" t="str">
        <f ca="1">CHECKLIST!Z93</f>
        <v>ON TRACK</v>
      </c>
      <c r="K115" s="3" t="str">
        <f>IF(CHECKLIST!AC93&lt;&gt;"",CHECKLIST!AC93,"")</f>
        <v/>
      </c>
      <c r="L115" s="1">
        <v>46219</v>
      </c>
      <c r="M115" s="1">
        <v>46219</v>
      </c>
    </row>
    <row r="116" spans="1:13" x14ac:dyDescent="0.3">
      <c r="A116">
        <v>31</v>
      </c>
      <c r="B116" t="s">
        <v>20</v>
      </c>
      <c r="C116" t="s">
        <v>19</v>
      </c>
      <c r="D116" s="56">
        <f>IF(CHECKLIST!H94&lt;&gt;"",CHECKLIST!H94,"")</f>
        <v>12</v>
      </c>
      <c r="E116" s="2">
        <v>46023</v>
      </c>
      <c r="F116" s="2">
        <v>46023</v>
      </c>
      <c r="G116" s="3">
        <f>IF(CHECKLIST!Y94&lt;&gt;"",CHECKLIST!Y94,"")</f>
        <v>46155</v>
      </c>
      <c r="H116">
        <f>IF(CHECKLIST!U94,1,0)</f>
        <v>1</v>
      </c>
      <c r="I116" s="3" t="str">
        <f>IF(CHECKLIST!AB94&lt;&gt;"",CHECKLIST!AB94,"")</f>
        <v>28/206/DMAP-GPPS-PBS/Srt/B</v>
      </c>
      <c r="J116" s="3" t="str">
        <f ca="1">CHECKLIST!Z94</f>
        <v>ON TRACK</v>
      </c>
      <c r="K116" s="3" t="str">
        <f>IF(CHECKLIST!AC94&lt;&gt;"",CHECKLIST!AC94,"")</f>
        <v>bundling lobby MSP, Optimalisasi GBI dan Kompartemen ADG</v>
      </c>
      <c r="L116" s="1">
        <v>46219</v>
      </c>
      <c r="M116" s="1">
        <v>46219</v>
      </c>
    </row>
    <row r="117" spans="1:13" x14ac:dyDescent="0.3">
      <c r="A117">
        <v>31</v>
      </c>
      <c r="B117" t="s">
        <v>21</v>
      </c>
      <c r="C117" t="s">
        <v>19</v>
      </c>
      <c r="D117" s="56">
        <f>IF(CHECKLIST!H95&lt;&gt;"",CHECKLIST!H95,"")</f>
        <v>8</v>
      </c>
      <c r="E117" s="2">
        <v>46174</v>
      </c>
      <c r="F117" s="2">
        <v>46174</v>
      </c>
      <c r="G117" s="3">
        <f>IF(CHECKLIST!Y95&lt;&gt;"",CHECKLIST!Y95,"")</f>
        <v>46218</v>
      </c>
      <c r="H117">
        <f>IF(CHECKLIST!U95,1,0)</f>
        <v>1</v>
      </c>
      <c r="I117" s="3" t="str">
        <f>IF(CHECKLIST!AB95&lt;&gt;"",CHECKLIST!AB95,"")</f>
        <v>28/46/DMAP/Srt/B</v>
      </c>
      <c r="J117" s="3" t="str">
        <f ca="1">CHECKLIST!Z95</f>
        <v>ON TRACK</v>
      </c>
      <c r="K117" s="3" t="str">
        <f>IF(CHECKLIST!AC95&lt;&gt;"",CHECKLIST!AC95,"")</f>
        <v>bundling lobby MSP, optimalisasi GBI dan Taman Milenial
No. 28/46/DMAP/Srt/B
nilai kontrak Rp62.629.000.000 (Rp69.518.190.000 dengan PPN 12%)</v>
      </c>
      <c r="L117" s="1">
        <v>46219</v>
      </c>
      <c r="M117" s="1">
        <v>46219</v>
      </c>
    </row>
    <row r="118" spans="1:13" x14ac:dyDescent="0.3">
      <c r="A118">
        <v>31</v>
      </c>
      <c r="B118" t="s">
        <v>22</v>
      </c>
      <c r="C118" s="8" t="s">
        <v>30</v>
      </c>
      <c r="D118" s="56">
        <f>IF(CHECKLIST!H96&lt;&gt;"",CHECKLIST!H96,"")</f>
        <v>1</v>
      </c>
      <c r="E118" s="2">
        <v>46174</v>
      </c>
      <c r="F118" s="2">
        <v>46266</v>
      </c>
      <c r="G118" s="3" t="str">
        <f>IF(CHECKLIST!Y96&lt;&gt;"",CHECKLIST!Y96,"")</f>
        <v/>
      </c>
      <c r="H118">
        <f>IF(CHECKLIST!U96,1,0)</f>
        <v>1</v>
      </c>
      <c r="I118" s="3" t="str">
        <f>IF(CHECKLIST!AB96&lt;&gt;"",CHECKLIST!AB96,"")</f>
        <v/>
      </c>
      <c r="J118" s="3" t="str">
        <f ca="1">CHECKLIST!Z96</f>
        <v>ON TRACK</v>
      </c>
      <c r="K118" s="3" t="str">
        <f>IF(CHECKLIST!AC96&lt;&gt;"",CHECKLIST!AC96,"")</f>
        <v/>
      </c>
      <c r="L118" s="1">
        <v>46219</v>
      </c>
      <c r="M118" s="1">
        <v>46219</v>
      </c>
    </row>
    <row r="119" spans="1:13" x14ac:dyDescent="0.3">
      <c r="A119">
        <v>15</v>
      </c>
      <c r="B119" t="s">
        <v>13</v>
      </c>
      <c r="C119" t="s">
        <v>16</v>
      </c>
      <c r="D119" s="56">
        <f>IF(CHECKLIST!H97&lt;&gt;"",CHECKLIST!H97,"")</f>
        <v>6</v>
      </c>
      <c r="E119" s="2">
        <v>46082</v>
      </c>
      <c r="F119" s="2">
        <v>46082</v>
      </c>
      <c r="G119" s="3">
        <f>IF(CHECKLIST!Y97&lt;&gt;"",CHECKLIST!Y97,"")</f>
        <v>46080</v>
      </c>
      <c r="H119">
        <f>IF(CHECKLIST!U97,1,0)</f>
        <v>1</v>
      </c>
      <c r="I119" s="3" t="str">
        <f>IF(CHECKLIST!AB97&lt;&gt;"",CHECKLIST!AB97,"")</f>
        <v/>
      </c>
      <c r="J119" s="3" t="str">
        <f ca="1">CHECKLIST!Z97</f>
        <v>ON TRACK</v>
      </c>
      <c r="K119" s="3" t="str">
        <f>IF(CHECKLIST!AC97&lt;&gt;"",CHECKLIST!AC97,"")</f>
        <v/>
      </c>
      <c r="L119" s="1">
        <v>46219</v>
      </c>
      <c r="M119" s="1">
        <v>46219</v>
      </c>
    </row>
    <row r="120" spans="1:13" x14ac:dyDescent="0.3">
      <c r="A120">
        <v>15</v>
      </c>
      <c r="B120" t="s">
        <v>21</v>
      </c>
      <c r="C120" t="s">
        <v>18</v>
      </c>
      <c r="D120" s="56">
        <f>IF(CHECKLIST!H98&lt;&gt;"",CHECKLIST!H98,"")</f>
        <v>7</v>
      </c>
      <c r="E120" s="2">
        <v>46143</v>
      </c>
      <c r="F120" s="2">
        <v>46143</v>
      </c>
      <c r="G120" s="3">
        <f>IF(CHECKLIST!Y98&lt;&gt;"",CHECKLIST!Y98,"")</f>
        <v>46146</v>
      </c>
      <c r="H120">
        <f>IF(CHECKLIST!U98,1,0)</f>
        <v>1</v>
      </c>
      <c r="I120" s="3" t="str">
        <f>IF(CHECKLIST!AB98&lt;&gt;"",CHECKLIST!AB98,"")</f>
        <v/>
      </c>
      <c r="J120" s="3" t="str">
        <f ca="1">CHECKLIST!Z98</f>
        <v>ON TRACK</v>
      </c>
      <c r="K120" s="3" t="str">
        <f>IF(CHECKLIST!AC98&lt;&gt;"",CHECKLIST!AC98,"")</f>
        <v/>
      </c>
      <c r="L120" s="1">
        <v>46219</v>
      </c>
      <c r="M120" s="1">
        <v>46219</v>
      </c>
    </row>
    <row r="121" spans="1:13" x14ac:dyDescent="0.3">
      <c r="A121">
        <v>15</v>
      </c>
      <c r="B121" t="s">
        <v>21</v>
      </c>
      <c r="C121" t="s">
        <v>19</v>
      </c>
      <c r="D121" s="56">
        <f>IF(CHECKLIST!H99&lt;&gt;"",CHECKLIST!H99,"")</f>
        <v>8</v>
      </c>
      <c r="E121" s="2">
        <v>46023</v>
      </c>
      <c r="F121" s="2">
        <v>46082</v>
      </c>
      <c r="G121" s="3">
        <f>IF(CHECKLIST!Y99&lt;&gt;"",CHECKLIST!Y99,"")</f>
        <v>46239</v>
      </c>
      <c r="H121">
        <f>IF(CHECKLIST!U99,1,0)</f>
        <v>1</v>
      </c>
      <c r="I121" s="3" t="str">
        <f>IF(CHECKLIST!AB99&lt;&gt;"",CHECKLIST!AB99,"")</f>
        <v/>
      </c>
      <c r="J121" s="3" t="str">
        <f ca="1">CHECKLIST!Z99</f>
        <v>ON TRACK</v>
      </c>
      <c r="K121" s="3" t="str">
        <f>IF(CHECKLIST!AC99&lt;&gt;"",CHECKLIST!AC99,"")</f>
        <v/>
      </c>
      <c r="L121" s="1">
        <v>46219</v>
      </c>
      <c r="M121" s="1">
        <v>46219</v>
      </c>
    </row>
    <row r="122" spans="1:13" x14ac:dyDescent="0.3">
      <c r="A122">
        <v>15</v>
      </c>
      <c r="B122" t="s">
        <v>22</v>
      </c>
      <c r="C122" s="8" t="s">
        <v>30</v>
      </c>
      <c r="D122" s="56">
        <f>IF(CHECKLIST!H100&lt;&gt;"",CHECKLIST!H100,"")</f>
        <v>1</v>
      </c>
      <c r="E122" s="2">
        <v>46113</v>
      </c>
      <c r="F122" s="2">
        <v>46204</v>
      </c>
      <c r="G122" s="3" t="str">
        <f>IF(CHECKLIST!Y100&lt;&gt;"",CHECKLIST!Y100,"")</f>
        <v/>
      </c>
      <c r="H122">
        <f>IF(CHECKLIST!U100,1,0)</f>
        <v>0</v>
      </c>
      <c r="I122" s="3" t="str">
        <f>IF(CHECKLIST!AB100&lt;&gt;"",CHECKLIST!AB100,"")</f>
        <v/>
      </c>
      <c r="J122" s="3" t="str">
        <f ca="1">CHECKLIST!Z100</f>
        <v>BEHIND</v>
      </c>
      <c r="K122" s="3" t="str">
        <f>IF(CHECKLIST!AC100&lt;&gt;"",CHECKLIST!AC100,"")</f>
        <v/>
      </c>
      <c r="L122" s="1">
        <v>46219</v>
      </c>
      <c r="M122" s="1">
        <v>46219</v>
      </c>
    </row>
    <row r="123" spans="1:13" x14ac:dyDescent="0.3">
      <c r="A123">
        <v>19</v>
      </c>
      <c r="B123" t="s">
        <v>13</v>
      </c>
      <c r="C123" t="s">
        <v>15</v>
      </c>
      <c r="D123" s="56">
        <f>IF(CHECKLIST!H101&lt;&gt;"",CHECKLIST!H101,"")</f>
        <v>4</v>
      </c>
      <c r="E123" s="2">
        <v>46054</v>
      </c>
      <c r="F123" s="2">
        <v>46054</v>
      </c>
      <c r="G123" s="3">
        <f>IF(CHECKLIST!Y101&lt;&gt;"",CHECKLIST!Y101,"")</f>
        <v>46062</v>
      </c>
      <c r="H123">
        <f>IF(CHECKLIST!U101,1,0)</f>
        <v>1</v>
      </c>
      <c r="I123" s="3" t="str">
        <f>IF(CHECKLIST!AB101&lt;&gt;"",CHECKLIST!AB101,"")</f>
        <v/>
      </c>
      <c r="J123" s="3" t="str">
        <f ca="1">CHECKLIST!Z101</f>
        <v>ON TRACK</v>
      </c>
      <c r="K123" s="3" t="str">
        <f>IF(CHECKLIST!AC101&lt;&gt;"",CHECKLIST!AC101,"")</f>
        <v/>
      </c>
      <c r="L123" s="1">
        <v>46219</v>
      </c>
      <c r="M123" s="1">
        <v>46219</v>
      </c>
    </row>
    <row r="124" spans="1:13" x14ac:dyDescent="0.3">
      <c r="A124">
        <v>19</v>
      </c>
      <c r="B124" t="s">
        <v>13</v>
      </c>
      <c r="C124" t="s">
        <v>16</v>
      </c>
      <c r="D124" s="56">
        <f>IF(CHECKLIST!H102&lt;&gt;"",CHECKLIST!H102,"")</f>
        <v>6</v>
      </c>
      <c r="E124" s="2">
        <v>46054</v>
      </c>
      <c r="F124" s="2">
        <v>46054</v>
      </c>
      <c r="G124" s="3">
        <f>IF(CHECKLIST!Y102&lt;&gt;"",CHECKLIST!Y102,"")</f>
        <v>46080</v>
      </c>
      <c r="H124">
        <f>IF(CHECKLIST!U102,1,0)</f>
        <v>1</v>
      </c>
      <c r="I124" s="3" t="str">
        <f>IF(CHECKLIST!AB102&lt;&gt;"",CHECKLIST!AB102,"")</f>
        <v/>
      </c>
      <c r="J124" s="3" t="str">
        <f ca="1">CHECKLIST!Z102</f>
        <v>ON TRACK</v>
      </c>
      <c r="K124" s="3" t="str">
        <f>IF(CHECKLIST!AC102&lt;&gt;"",CHECKLIST!AC102,"")</f>
        <v/>
      </c>
      <c r="L124" s="1">
        <v>46219</v>
      </c>
      <c r="M124" s="1">
        <v>46219</v>
      </c>
    </row>
    <row r="125" spans="1:13" x14ac:dyDescent="0.3">
      <c r="A125">
        <v>19</v>
      </c>
      <c r="B125" t="s">
        <v>21</v>
      </c>
      <c r="C125" t="s">
        <v>18</v>
      </c>
      <c r="D125" s="56">
        <f>IF(CHECKLIST!H103&lt;&gt;"",CHECKLIST!H103,"")</f>
        <v>7</v>
      </c>
      <c r="E125" s="2">
        <v>46054</v>
      </c>
      <c r="F125" s="2">
        <v>46143</v>
      </c>
      <c r="G125" s="3">
        <f>IF(CHECKLIST!Y103&lt;&gt;"",CHECKLIST!Y103,"")</f>
        <v>46097</v>
      </c>
      <c r="H125">
        <f>IF(CHECKLIST!U103,1,0)</f>
        <v>1</v>
      </c>
      <c r="I125" s="3" t="str">
        <f>IF(CHECKLIST!AB103&lt;&gt;"",CHECKLIST!AB103,"")</f>
        <v/>
      </c>
      <c r="J125" s="3" t="str">
        <f ca="1">CHECKLIST!Z103</f>
        <v>ON TRACK</v>
      </c>
      <c r="K125" s="3" t="str">
        <f>IF(CHECKLIST!AC103&lt;&gt;"",CHECKLIST!AC103,"")</f>
        <v/>
      </c>
      <c r="L125" s="1">
        <v>46219</v>
      </c>
      <c r="M125" s="1">
        <v>46219</v>
      </c>
    </row>
    <row r="126" spans="1:13" x14ac:dyDescent="0.3">
      <c r="A126">
        <v>19</v>
      </c>
      <c r="B126" t="s">
        <v>17</v>
      </c>
      <c r="C126" t="s">
        <v>19</v>
      </c>
      <c r="D126" s="56">
        <f>IF(CHECKLIST!H104&lt;&gt;"",CHECKLIST!H104,"")</f>
        <v>10</v>
      </c>
      <c r="E126" s="2">
        <v>46023</v>
      </c>
      <c r="F126" s="2">
        <v>46023</v>
      </c>
      <c r="G126" s="3">
        <f>IF(CHECKLIST!Y104&lt;&gt;"",CHECKLIST!Y104,"")</f>
        <v>46028</v>
      </c>
      <c r="H126">
        <f>IF(CHECKLIST!U104,1,0)</f>
        <v>1</v>
      </c>
      <c r="I126" s="3" t="str">
        <f>IF(CHECKLIST!AB104&lt;&gt;"",CHECKLIST!AB104,"")</f>
        <v>28/2/DMAP-GPPS-PBS/Srt/B</v>
      </c>
      <c r="J126" s="3" t="str">
        <f ca="1">CHECKLIST!Z104</f>
        <v>ON TRACK</v>
      </c>
      <c r="K126" s="3" t="str">
        <f>IF(CHECKLIST!AC104&lt;&gt;"",CHECKLIST!AC104,"")</f>
        <v/>
      </c>
      <c r="L126" s="1">
        <v>46219</v>
      </c>
      <c r="M126" s="1">
        <v>46219</v>
      </c>
    </row>
    <row r="127" spans="1:13" x14ac:dyDescent="0.3">
      <c r="A127">
        <v>19</v>
      </c>
      <c r="B127" t="s">
        <v>20</v>
      </c>
      <c r="C127" t="s">
        <v>19</v>
      </c>
      <c r="D127" s="56">
        <f>IF(CHECKLIST!H105&lt;&gt;"",CHECKLIST!H105,"")</f>
        <v>12</v>
      </c>
      <c r="E127" s="2">
        <v>46023</v>
      </c>
      <c r="F127" s="2">
        <v>46023</v>
      </c>
      <c r="G127" s="3">
        <f>IF(CHECKLIST!Y105&lt;&gt;"",CHECKLIST!Y105,"")</f>
        <v>46155</v>
      </c>
      <c r="H127">
        <f>IF(CHECKLIST!U105,1,0)</f>
        <v>1</v>
      </c>
      <c r="I127" s="3" t="str">
        <f>IF(CHECKLIST!AB105&lt;&gt;"",CHECKLIST!AB105,"")</f>
        <v>28/206/DMAP-GPPS-PBS/Srt/B</v>
      </c>
      <c r="J127" s="3" t="str">
        <f ca="1">CHECKLIST!Z105</f>
        <v>ON TRACK</v>
      </c>
      <c r="K127" s="3" t="str">
        <f>IF(CHECKLIST!AC105&lt;&gt;"",CHECKLIST!AC105,"")</f>
        <v>bundling lobby MSP, Optimalisasi GBI dan Kompartemen ADG</v>
      </c>
      <c r="L127" s="1">
        <v>46219</v>
      </c>
      <c r="M127" s="1">
        <v>46219</v>
      </c>
    </row>
    <row r="128" spans="1:13" x14ac:dyDescent="0.3">
      <c r="A128">
        <v>19</v>
      </c>
      <c r="B128" t="s">
        <v>21</v>
      </c>
      <c r="C128" t="s">
        <v>19</v>
      </c>
      <c r="D128" s="56">
        <f>IF(CHECKLIST!H106&lt;&gt;"",CHECKLIST!H106,"")</f>
        <v>8</v>
      </c>
      <c r="E128" s="2">
        <v>46174</v>
      </c>
      <c r="F128" s="2">
        <v>46174</v>
      </c>
      <c r="G128" s="3">
        <f>IF(CHECKLIST!Y106&lt;&gt;"",CHECKLIST!Y106,"")</f>
        <v>46218</v>
      </c>
      <c r="H128">
        <f>IF(CHECKLIST!U106,1,0)</f>
        <v>1</v>
      </c>
      <c r="I128" s="3" t="str">
        <f>IF(CHECKLIST!AB106&lt;&gt;"",CHECKLIST!AB106,"")</f>
        <v>28/46/DMAP/Srt/B</v>
      </c>
      <c r="J128" s="3" t="str">
        <f ca="1">CHECKLIST!Z106</f>
        <v>ON TRACK</v>
      </c>
      <c r="K128" s="3" t="str">
        <f>IF(CHECKLIST!AC106&lt;&gt;"",CHECKLIST!AC106,"")</f>
        <v>bundling lobby MSP, optimalisasi GBI dan Taman Milenial
No. 28/46/DMAP/Srt/B
nilai kontrak Rp62.629.000.000 (Rp69.518.190.000 dengan PPN 12%)</v>
      </c>
      <c r="L128" s="1">
        <v>46219</v>
      </c>
      <c r="M128" s="1">
        <v>46219</v>
      </c>
    </row>
    <row r="129" spans="1:13" x14ac:dyDescent="0.3">
      <c r="A129">
        <v>19</v>
      </c>
      <c r="B129" t="s">
        <v>22</v>
      </c>
      <c r="C129" s="8" t="s">
        <v>30</v>
      </c>
      <c r="D129" s="56">
        <f>IF(CHECKLIST!H107&lt;&gt;"",CHECKLIST!H107,"")</f>
        <v>1</v>
      </c>
      <c r="E129" s="2">
        <v>46174</v>
      </c>
      <c r="F129" s="2">
        <v>46266</v>
      </c>
      <c r="G129" s="3" t="str">
        <f>IF(CHECKLIST!Y107&lt;&gt;"",CHECKLIST!Y107,"")</f>
        <v/>
      </c>
      <c r="H129">
        <f>IF(CHECKLIST!U107,1,0)</f>
        <v>1</v>
      </c>
      <c r="I129" s="3" t="str">
        <f>IF(CHECKLIST!AB107&lt;&gt;"",CHECKLIST!AB107,"")</f>
        <v/>
      </c>
      <c r="J129" s="3" t="str">
        <f ca="1">CHECKLIST!Z107</f>
        <v>ON TRACK</v>
      </c>
      <c r="K129" s="3" t="str">
        <f>IF(CHECKLIST!AC107&lt;&gt;"",CHECKLIST!AC107,"")</f>
        <v/>
      </c>
      <c r="L129" s="1">
        <v>46219</v>
      </c>
      <c r="M129" s="1">
        <v>46219</v>
      </c>
    </row>
    <row r="130" spans="1:13" x14ac:dyDescent="0.3">
      <c r="A130">
        <v>36</v>
      </c>
      <c r="B130" t="s">
        <v>13</v>
      </c>
      <c r="C130" t="s">
        <v>15</v>
      </c>
      <c r="D130" s="56">
        <f>IF(CHECKLIST!H108&lt;&gt;"",CHECKLIST!H108,"")</f>
        <v>4</v>
      </c>
      <c r="E130" s="2">
        <v>46054</v>
      </c>
      <c r="F130" s="2">
        <v>46054</v>
      </c>
      <c r="G130" s="3">
        <f>IF(CHECKLIST!Y108&lt;&gt;"",CHECKLIST!Y108,"")</f>
        <v>46062</v>
      </c>
      <c r="H130">
        <f>IF(CHECKLIST!U108,1,0)</f>
        <v>1</v>
      </c>
      <c r="I130" s="3" t="str">
        <f>IF(CHECKLIST!AB108&lt;&gt;"",CHECKLIST!AB108,"")</f>
        <v/>
      </c>
      <c r="J130" s="3" t="str">
        <f ca="1">CHECKLIST!Z108</f>
        <v>ON TRACK</v>
      </c>
      <c r="K130" s="3" t="str">
        <f>IF(CHECKLIST!AC108&lt;&gt;"",CHECKLIST!AC108,"")</f>
        <v/>
      </c>
      <c r="L130" s="1">
        <v>46219</v>
      </c>
      <c r="M130" s="1">
        <v>46219</v>
      </c>
    </row>
    <row r="131" spans="1:13" x14ac:dyDescent="0.3">
      <c r="A131">
        <v>36</v>
      </c>
      <c r="B131" t="s">
        <v>13</v>
      </c>
      <c r="C131" t="s">
        <v>16</v>
      </c>
      <c r="D131" s="56">
        <f>IF(CHECKLIST!H109&lt;&gt;"",CHECKLIST!H109,"")</f>
        <v>6</v>
      </c>
      <c r="E131" s="2">
        <v>46054</v>
      </c>
      <c r="F131" s="2">
        <v>46054</v>
      </c>
      <c r="G131" s="3">
        <f>IF(CHECKLIST!Y109&lt;&gt;"",CHECKLIST!Y109,"")</f>
        <v>46080</v>
      </c>
      <c r="H131">
        <f>IF(CHECKLIST!U109,1,0)</f>
        <v>1</v>
      </c>
      <c r="I131" s="3" t="str">
        <f>IF(CHECKLIST!AB109&lt;&gt;"",CHECKLIST!AB109,"")</f>
        <v/>
      </c>
      <c r="J131" s="3" t="str">
        <f ca="1">CHECKLIST!Z109</f>
        <v>ON TRACK</v>
      </c>
      <c r="K131" s="3" t="str">
        <f>IF(CHECKLIST!AC109&lt;&gt;"",CHECKLIST!AC109,"")</f>
        <v/>
      </c>
      <c r="L131" s="1">
        <v>46219</v>
      </c>
      <c r="M131" s="1">
        <v>46219</v>
      </c>
    </row>
    <row r="132" spans="1:13" x14ac:dyDescent="0.3">
      <c r="A132">
        <v>36</v>
      </c>
      <c r="B132" t="s">
        <v>21</v>
      </c>
      <c r="C132" t="s">
        <v>18</v>
      </c>
      <c r="D132" s="56">
        <f>IF(CHECKLIST!H110&lt;&gt;"",CHECKLIST!H110,"")</f>
        <v>7</v>
      </c>
      <c r="E132" s="2">
        <v>46054</v>
      </c>
      <c r="F132" s="2">
        <v>46143</v>
      </c>
      <c r="G132" s="3">
        <f>IF(CHECKLIST!Y110&lt;&gt;"",CHECKLIST!Y110,"")</f>
        <v>46097</v>
      </c>
      <c r="H132">
        <f>IF(CHECKLIST!U110,1,0)</f>
        <v>1</v>
      </c>
      <c r="I132" s="3" t="str">
        <f>IF(CHECKLIST!AB110&lt;&gt;"",CHECKLIST!AB110,"")</f>
        <v/>
      </c>
      <c r="J132" s="3" t="str">
        <f ca="1">CHECKLIST!Z110</f>
        <v>ON TRACK</v>
      </c>
      <c r="K132" s="3" t="str">
        <f>IF(CHECKLIST!AC110&lt;&gt;"",CHECKLIST!AC110,"")</f>
        <v/>
      </c>
      <c r="L132" s="1">
        <v>46219</v>
      </c>
      <c r="M132" s="1">
        <v>46219</v>
      </c>
    </row>
    <row r="133" spans="1:13" x14ac:dyDescent="0.3">
      <c r="A133">
        <v>36</v>
      </c>
      <c r="B133" t="s">
        <v>17</v>
      </c>
      <c r="C133" t="s">
        <v>19</v>
      </c>
      <c r="D133" s="56">
        <f>IF(CHECKLIST!H111&lt;&gt;"",CHECKLIST!H111,"")</f>
        <v>10</v>
      </c>
      <c r="E133" s="2">
        <v>46023</v>
      </c>
      <c r="F133" s="2">
        <v>46023</v>
      </c>
      <c r="G133" s="3">
        <f>IF(CHECKLIST!Y111&lt;&gt;"",CHECKLIST!Y111,"")</f>
        <v>46028</v>
      </c>
      <c r="H133">
        <f>IF(CHECKLIST!U111,1,0)</f>
        <v>1</v>
      </c>
      <c r="I133" s="3" t="str">
        <f>IF(CHECKLIST!AB111&lt;&gt;"",CHECKLIST!AB111,"")</f>
        <v/>
      </c>
      <c r="J133" s="3" t="str">
        <f ca="1">CHECKLIST!Z111</f>
        <v>ON TRACK</v>
      </c>
      <c r="K133" s="3" t="str">
        <f>IF(CHECKLIST!AC111&lt;&gt;"",CHECKLIST!AC111,"")</f>
        <v/>
      </c>
      <c r="L133" s="1">
        <v>46219</v>
      </c>
      <c r="M133" s="1">
        <v>46219</v>
      </c>
    </row>
    <row r="134" spans="1:13" x14ac:dyDescent="0.3">
      <c r="A134">
        <v>36</v>
      </c>
      <c r="B134" t="s">
        <v>20</v>
      </c>
      <c r="C134" t="s">
        <v>19</v>
      </c>
      <c r="D134" s="56">
        <f>IF(CHECKLIST!H112&lt;&gt;"",CHECKLIST!H112,"")</f>
        <v>12</v>
      </c>
      <c r="E134" s="2">
        <v>46023</v>
      </c>
      <c r="F134" s="2">
        <v>46023</v>
      </c>
      <c r="G134" s="3">
        <f>IF(CHECKLIST!Y112&lt;&gt;"",CHECKLIST!Y112,"")</f>
        <v>46155</v>
      </c>
      <c r="H134">
        <f>IF(CHECKLIST!U112,1,0)</f>
        <v>1</v>
      </c>
      <c r="I134" s="3" t="str">
        <f>IF(CHECKLIST!AB112&lt;&gt;"",CHECKLIST!AB112,"")</f>
        <v/>
      </c>
      <c r="J134" s="3" t="str">
        <f ca="1">CHECKLIST!Z112</f>
        <v>ON TRACK</v>
      </c>
      <c r="K134" s="3" t="str">
        <f>IF(CHECKLIST!AC112&lt;&gt;"",CHECKLIST!AC112,"")</f>
        <v/>
      </c>
      <c r="L134" s="1">
        <v>46219</v>
      </c>
      <c r="M134" s="1">
        <v>46219</v>
      </c>
    </row>
    <row r="135" spans="1:13" x14ac:dyDescent="0.3">
      <c r="A135">
        <v>36</v>
      </c>
      <c r="B135" t="s">
        <v>21</v>
      </c>
      <c r="C135" t="s">
        <v>19</v>
      </c>
      <c r="D135" s="56">
        <f>IF(CHECKLIST!H113&lt;&gt;"",CHECKLIST!H113,"")</f>
        <v>8</v>
      </c>
      <c r="E135" s="2">
        <v>46174</v>
      </c>
      <c r="F135" s="2">
        <v>46174</v>
      </c>
      <c r="G135" s="3">
        <f>IF(CHECKLIST!Y113&lt;&gt;"",CHECKLIST!Y113,"")</f>
        <v>46218</v>
      </c>
      <c r="H135">
        <f>IF(CHECKLIST!U113,1,0)</f>
        <v>1</v>
      </c>
      <c r="I135" s="3" t="str">
        <f>IF(CHECKLIST!AB113&lt;&gt;"",CHECKLIST!AB113,"")</f>
        <v>28/46/DMAP/Srt/B</v>
      </c>
      <c r="J135" s="3" t="str">
        <f ca="1">CHECKLIST!Z113</f>
        <v>ON TRACK</v>
      </c>
      <c r="K135" s="3" t="str">
        <f>IF(CHECKLIST!AC113&lt;&gt;"",CHECKLIST!AC113,"")</f>
        <v>bundling lobby MSP, optimalisasi GBI dan Taman Milenial
No. 28/46/DMAP/Srt/B
nilai kontrak Rp62.629.000.000 (Rp69.518.190.000 dengan PPN 12%)</v>
      </c>
      <c r="L135" s="1">
        <v>46219</v>
      </c>
      <c r="M135" s="1">
        <v>46219</v>
      </c>
    </row>
    <row r="136" spans="1:13" x14ac:dyDescent="0.3">
      <c r="A136">
        <v>36</v>
      </c>
      <c r="B136" t="s">
        <v>22</v>
      </c>
      <c r="C136" s="8" t="s">
        <v>30</v>
      </c>
      <c r="D136" s="56">
        <f>IF(CHECKLIST!H114&lt;&gt;"",CHECKLIST!H114,"")</f>
        <v>1</v>
      </c>
      <c r="E136" s="2">
        <v>46174</v>
      </c>
      <c r="F136" s="2">
        <v>46266</v>
      </c>
      <c r="G136" s="3" t="str">
        <f>IF(CHECKLIST!Y114&lt;&gt;"",CHECKLIST!Y114,"")</f>
        <v/>
      </c>
      <c r="H136">
        <f>IF(CHECKLIST!U114,1,0)</f>
        <v>1</v>
      </c>
      <c r="I136" s="3" t="str">
        <f>IF(CHECKLIST!AB114&lt;&gt;"",CHECKLIST!AB114,"")</f>
        <v/>
      </c>
      <c r="J136" s="3" t="str">
        <f ca="1">CHECKLIST!Z114</f>
        <v>ON TRACK</v>
      </c>
      <c r="K136" s="3" t="str">
        <f>IF(CHECKLIST!AC114&lt;&gt;"",CHECKLIST!AC114,"")</f>
        <v/>
      </c>
      <c r="L136" s="1">
        <v>46219</v>
      </c>
      <c r="M136" s="1">
        <v>46219</v>
      </c>
    </row>
    <row r="137" spans="1:13" x14ac:dyDescent="0.3">
      <c r="A137">
        <v>45</v>
      </c>
      <c r="B137" t="s">
        <v>31</v>
      </c>
      <c r="D137" s="56">
        <f>IF(CHECKLIST!H115&lt;&gt;"",CHECKLIST!H115,"")</f>
        <v>4</v>
      </c>
      <c r="E137" s="2">
        <v>46204</v>
      </c>
      <c r="F137" s="2">
        <v>46204</v>
      </c>
      <c r="G137" s="3" t="str">
        <f>IF(CHECKLIST!Y115&lt;&gt;"",CHECKLIST!Y115,"")</f>
        <v/>
      </c>
      <c r="H137">
        <f>IF(CHECKLIST!U115,1,0)</f>
        <v>0</v>
      </c>
      <c r="I137" s="3" t="str">
        <f>IF(CHECKLIST!AB115&lt;&gt;"",CHECKLIST!AB115,"")</f>
        <v/>
      </c>
      <c r="J137" s="3" t="str">
        <f ca="1">CHECKLIST!Z115</f>
        <v>NOT STARTED</v>
      </c>
      <c r="K137" s="3" t="str">
        <f>IF(CHECKLIST!AC115&lt;&gt;"",CHECKLIST!AC115,"")</f>
        <v/>
      </c>
      <c r="L137" s="1">
        <v>46219</v>
      </c>
      <c r="M137" s="1">
        <v>46219</v>
      </c>
    </row>
    <row r="138" spans="1:13" x14ac:dyDescent="0.3">
      <c r="A138">
        <v>45</v>
      </c>
      <c r="B138" t="s">
        <v>32</v>
      </c>
      <c r="D138" s="56">
        <f>IF(CHECKLIST!H116&lt;&gt;"",CHECKLIST!H116,"")</f>
        <v>13</v>
      </c>
      <c r="E138" s="2">
        <v>46235</v>
      </c>
      <c r="F138" s="2">
        <v>46235</v>
      </c>
      <c r="G138" s="3" t="str">
        <f>IF(CHECKLIST!Y116&lt;&gt;"",CHECKLIST!Y116,"")</f>
        <v/>
      </c>
      <c r="H138">
        <f>IF(CHECKLIST!U116,1,0)</f>
        <v>0</v>
      </c>
      <c r="I138" s="3" t="str">
        <f>IF(CHECKLIST!AB116&lt;&gt;"",CHECKLIST!AB116,"")</f>
        <v/>
      </c>
      <c r="J138" s="3" t="str">
        <f ca="1">CHECKLIST!Z116</f>
        <v>NOT STARTED</v>
      </c>
      <c r="K138" s="3" t="str">
        <f>IF(CHECKLIST!AC116&lt;&gt;"",CHECKLIST!AC116,"")</f>
        <v/>
      </c>
      <c r="L138" s="1">
        <v>46219</v>
      </c>
      <c r="M138" s="1">
        <v>46219</v>
      </c>
    </row>
    <row r="139" spans="1:13" x14ac:dyDescent="0.3">
      <c r="A139">
        <v>45</v>
      </c>
      <c r="B139" t="s">
        <v>26</v>
      </c>
      <c r="C139" t="s">
        <v>18</v>
      </c>
      <c r="D139" s="56">
        <f>IF(CHECKLIST!H117&lt;&gt;"",CHECKLIST!H117,"")</f>
        <v>14</v>
      </c>
      <c r="E139" s="2">
        <v>46266</v>
      </c>
      <c r="F139" s="2">
        <v>46357</v>
      </c>
      <c r="G139" s="3" t="str">
        <f>IF(CHECKLIST!Y117&lt;&gt;"",CHECKLIST!Y117,"")</f>
        <v/>
      </c>
      <c r="H139">
        <f>IF(CHECKLIST!U117,1,0)</f>
        <v>0</v>
      </c>
      <c r="I139" s="3" t="str">
        <f>IF(CHECKLIST!AB117&lt;&gt;"",CHECKLIST!AB117,"")</f>
        <v/>
      </c>
      <c r="J139" s="3" t="str">
        <f ca="1">CHECKLIST!Z117</f>
        <v>NOT STARTED</v>
      </c>
      <c r="K139" s="3" t="str">
        <f>IF(CHECKLIST!AC117&lt;&gt;"",CHECKLIST!AC117,"")</f>
        <v/>
      </c>
      <c r="L139" s="1">
        <v>46219</v>
      </c>
      <c r="M139" s="1">
        <v>46219</v>
      </c>
    </row>
    <row r="140" spans="1:13" x14ac:dyDescent="0.3">
      <c r="A140">
        <v>71</v>
      </c>
      <c r="B140" t="s">
        <v>13</v>
      </c>
      <c r="C140" t="s">
        <v>15</v>
      </c>
      <c r="D140" s="56">
        <f>IF(CHECKLIST!H118&lt;&gt;"",CHECKLIST!H118,"")</f>
        <v>4</v>
      </c>
      <c r="E140" s="2">
        <v>46174</v>
      </c>
      <c r="F140" s="2">
        <v>46174</v>
      </c>
      <c r="G140" s="3">
        <f>IF(CHECKLIST!Y118&lt;&gt;"",CHECKLIST!Y118,"")</f>
        <v>46203</v>
      </c>
      <c r="H140">
        <f>IF(CHECKLIST!U118,1,0)</f>
        <v>0</v>
      </c>
      <c r="I140" s="3" t="str">
        <f>IF(CHECKLIST!AB118&lt;&gt;"",CHECKLIST!AB118,"")</f>
        <v/>
      </c>
      <c r="J140" s="3" t="str">
        <f ca="1">CHECKLIST!Z118</f>
        <v>BEHIND</v>
      </c>
      <c r="K140" s="3" t="str">
        <f>IF(CHECKLIST!AC118&lt;&gt;"",CHECKLIST!AC118,"")</f>
        <v/>
      </c>
      <c r="L140" s="1">
        <v>46219</v>
      </c>
      <c r="M140" s="1">
        <v>46219</v>
      </c>
    </row>
    <row r="141" spans="1:13" x14ac:dyDescent="0.3">
      <c r="A141">
        <v>71</v>
      </c>
      <c r="B141" t="s">
        <v>21</v>
      </c>
      <c r="C141" t="s">
        <v>18</v>
      </c>
      <c r="D141" s="56">
        <f>IF(CHECKLIST!H119&lt;&gt;"",CHECKLIST!H119,"")</f>
        <v>7</v>
      </c>
      <c r="E141" s="2">
        <v>46174</v>
      </c>
      <c r="F141" s="2">
        <v>46266</v>
      </c>
      <c r="G141" s="3" t="str">
        <f>IF(CHECKLIST!Y119&lt;&gt;"",CHECKLIST!Y119,"")</f>
        <v/>
      </c>
      <c r="H141">
        <f>IF(CHECKLIST!U119,1,0)</f>
        <v>0</v>
      </c>
      <c r="I141" s="3" t="str">
        <f>IF(CHECKLIST!AB119&lt;&gt;"",CHECKLIST!AB119,"")</f>
        <v/>
      </c>
      <c r="J141" s="3" t="str">
        <f ca="1">CHECKLIST!Z119</f>
        <v>ON TRACK</v>
      </c>
      <c r="K141" s="3" t="str">
        <f>IF(CHECKLIST!AC119&lt;&gt;"",CHECKLIST!AC119,"")</f>
        <v/>
      </c>
      <c r="L141" s="1">
        <v>46219</v>
      </c>
      <c r="M141" s="1">
        <v>46219</v>
      </c>
    </row>
    <row r="142" spans="1:13" x14ac:dyDescent="0.3">
      <c r="A142">
        <v>71</v>
      </c>
      <c r="B142" t="s">
        <v>20</v>
      </c>
      <c r="C142" t="s">
        <v>19</v>
      </c>
      <c r="D142" s="56">
        <f>IF(CHECKLIST!H120&lt;&gt;"",CHECKLIST!H120,"")</f>
        <v>12</v>
      </c>
      <c r="E142" s="2">
        <v>46174</v>
      </c>
      <c r="F142" s="2">
        <v>46174</v>
      </c>
      <c r="G142" s="3" t="str">
        <f>IF(CHECKLIST!Y120&lt;&gt;"",CHECKLIST!Y120,"")</f>
        <v/>
      </c>
      <c r="H142">
        <f>IF(CHECKLIST!U120,1,0)</f>
        <v>0</v>
      </c>
      <c r="I142" s="3" t="str">
        <f>IF(CHECKLIST!AB120&lt;&gt;"",CHECKLIST!AB120,"")</f>
        <v/>
      </c>
      <c r="J142" s="3" t="str">
        <f ca="1">CHECKLIST!Z120</f>
        <v>BEHIND</v>
      </c>
      <c r="K142" s="3" t="str">
        <f>IF(CHECKLIST!AC120&lt;&gt;"",CHECKLIST!AC120,"")</f>
        <v/>
      </c>
      <c r="L142" s="1">
        <v>46219</v>
      </c>
      <c r="M142" s="1">
        <v>46219</v>
      </c>
    </row>
    <row r="143" spans="1:13" x14ac:dyDescent="0.3">
      <c r="A143">
        <v>71</v>
      </c>
      <c r="B143" t="s">
        <v>21</v>
      </c>
      <c r="C143" t="s">
        <v>19</v>
      </c>
      <c r="D143" s="56">
        <f>IF(CHECKLIST!H121&lt;&gt;"",CHECKLIST!H121,"")</f>
        <v>8</v>
      </c>
      <c r="E143" s="2">
        <v>46266</v>
      </c>
      <c r="F143" s="2">
        <v>46266</v>
      </c>
      <c r="G143" s="3" t="str">
        <f>IF(CHECKLIST!Y121&lt;&gt;"",CHECKLIST!Y121,"")</f>
        <v/>
      </c>
      <c r="H143">
        <f>IF(CHECKLIST!U121,1,0)</f>
        <v>0</v>
      </c>
      <c r="I143" s="3" t="str">
        <f>IF(CHECKLIST!AB121&lt;&gt;"",CHECKLIST!AB121,"")</f>
        <v/>
      </c>
      <c r="J143" s="3" t="str">
        <f ca="1">CHECKLIST!Z121</f>
        <v>ON TRACK</v>
      </c>
      <c r="K143" s="3" t="str">
        <f>IF(CHECKLIST!AC121&lt;&gt;"",CHECKLIST!AC121,"")</f>
        <v/>
      </c>
      <c r="L143" s="1">
        <v>46219</v>
      </c>
      <c r="M143" s="1">
        <v>46219</v>
      </c>
    </row>
    <row r="144" spans="1:13" x14ac:dyDescent="0.3">
      <c r="A144">
        <v>71</v>
      </c>
      <c r="B144" t="s">
        <v>22</v>
      </c>
      <c r="C144" s="8" t="s">
        <v>30</v>
      </c>
      <c r="D144" s="56">
        <f>IF(CHECKLIST!H122&lt;&gt;"",CHECKLIST!H122,"")</f>
        <v>1</v>
      </c>
      <c r="E144" s="2">
        <v>46266</v>
      </c>
      <c r="F144" s="2">
        <v>46357</v>
      </c>
      <c r="G144" s="3" t="str">
        <f>IF(CHECKLIST!Y122&lt;&gt;"",CHECKLIST!Y122,"")</f>
        <v/>
      </c>
      <c r="H144">
        <f>IF(CHECKLIST!U122,1,0)</f>
        <v>0</v>
      </c>
      <c r="I144" s="3" t="str">
        <f>IF(CHECKLIST!AB122&lt;&gt;"",CHECKLIST!AB122,"")</f>
        <v/>
      </c>
      <c r="J144" s="3" t="str">
        <f ca="1">CHECKLIST!Z122</f>
        <v>ON TRACK</v>
      </c>
      <c r="K144" s="3" t="str">
        <f>IF(CHECKLIST!AC122&lt;&gt;"",CHECKLIST!AC122,"")</f>
        <v/>
      </c>
      <c r="L144" s="1">
        <v>46219</v>
      </c>
      <c r="M144" s="1">
        <v>46219</v>
      </c>
    </row>
    <row r="145" spans="1:13" x14ac:dyDescent="0.3">
      <c r="A145">
        <v>72</v>
      </c>
      <c r="B145" t="s">
        <v>13</v>
      </c>
      <c r="C145" t="s">
        <v>15</v>
      </c>
      <c r="D145" s="56">
        <f>IF(CHECKLIST!H123&lt;&gt;"",CHECKLIST!H123,"")</f>
        <v>4</v>
      </c>
      <c r="E145" s="2">
        <v>46174</v>
      </c>
      <c r="F145" s="2">
        <v>46174</v>
      </c>
      <c r="G145" s="3">
        <f>IF(CHECKLIST!Y123&lt;&gt;"",CHECKLIST!Y123,"")</f>
        <v>46260</v>
      </c>
      <c r="H145">
        <f>IF(CHECKLIST!U123,1,0)</f>
        <v>1</v>
      </c>
      <c r="I145" s="3" t="str">
        <f>IF(CHECKLIST!AB123&lt;&gt;"",CHECKLIST!AB123,"")</f>
        <v/>
      </c>
      <c r="J145" s="3" t="str">
        <f ca="1">CHECKLIST!Z123</f>
        <v>ON TRACK</v>
      </c>
      <c r="K145" s="3" t="str">
        <f>IF(CHECKLIST!AC123&lt;&gt;"",CHECKLIST!AC123,"")</f>
        <v/>
      </c>
      <c r="L145" s="1">
        <v>46219</v>
      </c>
      <c r="M145" s="1">
        <v>46219</v>
      </c>
    </row>
    <row r="146" spans="1:13" x14ac:dyDescent="0.3">
      <c r="A146">
        <v>72</v>
      </c>
      <c r="B146" t="s">
        <v>21</v>
      </c>
      <c r="C146" t="s">
        <v>18</v>
      </c>
      <c r="D146" s="56">
        <f>IF(CHECKLIST!H125&lt;&gt;"",CHECKLIST!H125,"")</f>
        <v>7</v>
      </c>
      <c r="E146" s="2">
        <v>46174</v>
      </c>
      <c r="F146" s="2">
        <v>46266</v>
      </c>
      <c r="G146" s="3">
        <f>IF(CHECKLIST!Y125&lt;&gt;"",CHECKLIST!Y125,"")</f>
        <v>46262</v>
      </c>
      <c r="H146">
        <f>IF(CHECKLIST!U125,1,0)</f>
        <v>1</v>
      </c>
      <c r="I146" s="3" t="str">
        <f>IF(CHECKLIST!AB125&lt;&gt;"",CHECKLIST!AB125,"")</f>
        <v/>
      </c>
      <c r="J146" s="3" t="str">
        <f ca="1">CHECKLIST!Z125</f>
        <v>ON TRACK</v>
      </c>
      <c r="K146" s="3" t="str">
        <f>IF(CHECKLIST!AC125&lt;&gt;"",CHECKLIST!AC125,"")</f>
        <v/>
      </c>
      <c r="L146" s="1">
        <v>46219</v>
      </c>
      <c r="M146" s="1">
        <v>46219</v>
      </c>
    </row>
    <row r="147" spans="1:13" x14ac:dyDescent="0.3">
      <c r="A147">
        <v>72</v>
      </c>
      <c r="B147" t="s">
        <v>17</v>
      </c>
      <c r="C147" t="s">
        <v>19</v>
      </c>
      <c r="D147" s="56">
        <f>IF(CHECKLIST!H126&lt;&gt;"",CHECKLIST!H126,"")</f>
        <v>10</v>
      </c>
      <c r="E147" s="2">
        <v>46174</v>
      </c>
      <c r="F147" s="2">
        <v>46174</v>
      </c>
      <c r="G147" s="3">
        <f>IF(CHECKLIST!Y126&lt;&gt;"",CHECKLIST!Y126,"")</f>
        <v>46160</v>
      </c>
      <c r="H147">
        <f>IF(CHECKLIST!U126,1,0)</f>
        <v>1</v>
      </c>
      <c r="I147" s="3" t="str">
        <f>IF(CHECKLIST!AB126&lt;&gt;"",CHECKLIST!AB126,"")</f>
        <v>28/36/DPAN-GPAN1-POPN1/Srt/B</v>
      </c>
      <c r="J147" s="3" t="str">
        <f ca="1">CHECKLIST!Z126</f>
        <v>ON TRACK</v>
      </c>
      <c r="K147" s="3" t="str">
        <f>IF(CHECKLIST!AC126&lt;&gt;"",CHECKLIST!AC126,"")</f>
        <v/>
      </c>
      <c r="L147" s="1">
        <v>46219</v>
      </c>
      <c r="M147" s="1">
        <v>46219</v>
      </c>
    </row>
    <row r="148" spans="1:13" x14ac:dyDescent="0.3">
      <c r="A148">
        <v>72</v>
      </c>
      <c r="B148" t="s">
        <v>20</v>
      </c>
      <c r="C148" t="s">
        <v>19</v>
      </c>
      <c r="D148" s="56">
        <f>IF(CHECKLIST!H127&lt;&gt;"",CHECKLIST!H127,"")</f>
        <v>12</v>
      </c>
      <c r="E148" s="2">
        <v>46174</v>
      </c>
      <c r="F148" s="2">
        <v>46174</v>
      </c>
      <c r="G148" s="3">
        <f>IF(CHECKLIST!Y127&lt;&gt;"",CHECKLIST!Y127,"")</f>
        <v>46232</v>
      </c>
      <c r="H148">
        <f>IF(CHECKLIST!U127,1,0)</f>
        <v>1</v>
      </c>
      <c r="I148" s="3" t="str">
        <f>IF(CHECKLIST!AB127&lt;&gt;"",CHECKLIST!AB127,"")</f>
        <v/>
      </c>
      <c r="J148" s="3" t="str">
        <f ca="1">CHECKLIST!Z127</f>
        <v>ON TRACK</v>
      </c>
      <c r="K148" s="3" t="str">
        <f>IF(CHECKLIST!AC127&lt;&gt;"",CHECKLIST!AC127,"")</f>
        <v/>
      </c>
      <c r="L148" s="1">
        <v>46219</v>
      </c>
      <c r="M148" s="1">
        <v>46219</v>
      </c>
    </row>
    <row r="149" spans="1:13" x14ac:dyDescent="0.3">
      <c r="A149">
        <v>72</v>
      </c>
      <c r="B149" t="s">
        <v>21</v>
      </c>
      <c r="C149" t="s">
        <v>19</v>
      </c>
      <c r="D149" s="56">
        <f>IF(CHECKLIST!H128&lt;&gt;"",CHECKLIST!H128,"")</f>
        <v>8</v>
      </c>
      <c r="E149" s="2">
        <v>46266</v>
      </c>
      <c r="F149" s="2">
        <v>46266</v>
      </c>
      <c r="G149" s="3" t="str">
        <f>IF(CHECKLIST!Y128&lt;&gt;"",CHECKLIST!Y128,"")</f>
        <v/>
      </c>
      <c r="H149">
        <f>IF(CHECKLIST!U128,1,0)</f>
        <v>0</v>
      </c>
      <c r="I149" s="3" t="str">
        <f>IF(CHECKLIST!AB128&lt;&gt;"",CHECKLIST!AB128,"")</f>
        <v/>
      </c>
      <c r="J149" s="3" t="str">
        <f ca="1">CHECKLIST!Z128</f>
        <v>ON TRACK</v>
      </c>
      <c r="K149" s="3" t="str">
        <f>IF(CHECKLIST!AC128&lt;&gt;"",CHECKLIST!AC128,"")</f>
        <v/>
      </c>
      <c r="L149" s="1">
        <v>46219</v>
      </c>
      <c r="M149" s="1">
        <v>46219</v>
      </c>
    </row>
    <row r="150" spans="1:13" x14ac:dyDescent="0.3">
      <c r="A150">
        <v>72</v>
      </c>
      <c r="B150" t="s">
        <v>22</v>
      </c>
      <c r="C150" s="8" t="s">
        <v>30</v>
      </c>
      <c r="D150" s="56">
        <f>IF(CHECKLIST!H129&lt;&gt;"",CHECKLIST!H129,"")</f>
        <v>1</v>
      </c>
      <c r="E150" s="2">
        <v>46266</v>
      </c>
      <c r="F150" s="2">
        <v>46357</v>
      </c>
      <c r="G150" s="3" t="str">
        <f>IF(CHECKLIST!Y129&lt;&gt;"",CHECKLIST!Y129,"")</f>
        <v/>
      </c>
      <c r="H150">
        <f>IF(CHECKLIST!U129,1,0)</f>
        <v>0</v>
      </c>
      <c r="I150" s="3" t="str">
        <f>IF(CHECKLIST!AB129&lt;&gt;"",CHECKLIST!AB129,"")</f>
        <v/>
      </c>
      <c r="J150" s="3" t="str">
        <f ca="1">CHECKLIST!Z129</f>
        <v>ON TRACK</v>
      </c>
      <c r="K150" s="3" t="str">
        <f>IF(CHECKLIST!AC129&lt;&gt;"",CHECKLIST!AC129,"")</f>
        <v/>
      </c>
      <c r="L150" s="1">
        <v>46219</v>
      </c>
      <c r="M150" s="1">
        <v>46219</v>
      </c>
    </row>
    <row r="151" spans="1:13" x14ac:dyDescent="0.3">
      <c r="A151">
        <v>1</v>
      </c>
      <c r="B151" t="s">
        <v>22</v>
      </c>
      <c r="C151" t="s">
        <v>30</v>
      </c>
      <c r="D151">
        <v>1</v>
      </c>
      <c r="H15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FE64-FD7D-413E-BED4-26E62A7734ED}">
  <dimension ref="A1:AG144"/>
  <sheetViews>
    <sheetView tabSelected="1" topLeftCell="A3" zoomScale="90" zoomScaleNormal="90" workbookViewId="0">
      <selection activeCell="X137" sqref="X137"/>
    </sheetView>
  </sheetViews>
  <sheetFormatPr defaultRowHeight="14.4" x14ac:dyDescent="0.3"/>
  <cols>
    <col min="1" max="1" width="5.109375" style="4" customWidth="1"/>
    <col min="2" max="2" width="53.77734375" style="52" bestFit="1" customWidth="1"/>
    <col min="3" max="4" width="8.109375" style="53" customWidth="1"/>
    <col min="5" max="5" width="35" style="53" customWidth="1"/>
    <col min="6" max="6" width="19.6640625" style="4" bestFit="1" customWidth="1"/>
    <col min="7" max="7" width="31.109375" style="4" hidden="1" customWidth="1"/>
    <col min="8" max="8" width="31" style="4" hidden="1" customWidth="1"/>
    <col min="9" max="20" width="6.5546875" style="54" customWidth="1"/>
    <col min="21" max="21" width="9.5546875" customWidth="1"/>
    <col min="22" max="23" width="8.44140625" style="55" bestFit="1" customWidth="1"/>
    <col min="24" max="24" width="8.44140625" style="53" bestFit="1" customWidth="1"/>
    <col min="25" max="25" width="16.5546875" style="32" customWidth="1"/>
    <col min="26" max="27" width="15.88671875" style="4" customWidth="1"/>
    <col min="28" max="28" width="31.5546875" style="4" bestFit="1" customWidth="1"/>
    <col min="29" max="29" width="33.5546875" style="4" customWidth="1"/>
    <col min="31" max="31" width="41" style="42" bestFit="1" customWidth="1"/>
    <col min="33" max="33" width="0" style="4" hidden="1" customWidth="1"/>
  </cols>
  <sheetData>
    <row r="1" spans="1:33" s="10" customFormat="1" ht="21.6" customHeight="1" x14ac:dyDescent="0.3">
      <c r="A1" s="77"/>
      <c r="B1" s="77"/>
      <c r="C1" s="77"/>
      <c r="D1" s="77"/>
      <c r="E1" s="77"/>
      <c r="F1" s="77"/>
      <c r="G1" s="77"/>
      <c r="H1" s="77"/>
      <c r="I1" s="78" t="s">
        <v>33</v>
      </c>
      <c r="J1" s="78"/>
      <c r="K1" s="78"/>
      <c r="L1" s="78"/>
      <c r="M1" s="78"/>
      <c r="N1" s="78"/>
      <c r="O1" s="79">
        <f ca="1">TODAY()</f>
        <v>46268</v>
      </c>
      <c r="P1" s="79"/>
      <c r="Q1" s="79"/>
      <c r="R1" s="79"/>
      <c r="S1" s="79"/>
      <c r="T1" s="79"/>
      <c r="U1" s="77"/>
      <c r="V1" s="77"/>
      <c r="W1" s="77"/>
      <c r="X1" s="77"/>
      <c r="Y1" s="77"/>
      <c r="Z1" s="77"/>
      <c r="AA1" s="9"/>
      <c r="AB1" s="9"/>
      <c r="AC1" s="9"/>
      <c r="AE1" s="11"/>
      <c r="AG1" s="12"/>
    </row>
    <row r="2" spans="1:33" s="13" customFormat="1" ht="15.6" x14ac:dyDescent="0.3">
      <c r="A2" s="71" t="s">
        <v>34</v>
      </c>
      <c r="B2" s="80" t="s">
        <v>35</v>
      </c>
      <c r="C2" s="71" t="s">
        <v>36</v>
      </c>
      <c r="D2" s="69" t="s">
        <v>126</v>
      </c>
      <c r="E2" s="69" t="s">
        <v>1</v>
      </c>
      <c r="F2" s="81" t="s">
        <v>2</v>
      </c>
      <c r="G2" s="82"/>
      <c r="H2" s="83"/>
      <c r="I2" s="74" t="s">
        <v>37</v>
      </c>
      <c r="J2" s="74"/>
      <c r="K2" s="74"/>
      <c r="L2" s="74" t="s">
        <v>38</v>
      </c>
      <c r="M2" s="74"/>
      <c r="N2" s="74"/>
      <c r="O2" s="74" t="s">
        <v>39</v>
      </c>
      <c r="P2" s="74"/>
      <c r="Q2" s="74"/>
      <c r="R2" s="74" t="s">
        <v>40</v>
      </c>
      <c r="S2" s="74"/>
      <c r="T2" s="74"/>
      <c r="U2" s="71" t="s">
        <v>41</v>
      </c>
      <c r="V2" s="75" t="s">
        <v>42</v>
      </c>
      <c r="W2" s="75" t="s">
        <v>43</v>
      </c>
      <c r="X2" s="71" t="s">
        <v>44</v>
      </c>
      <c r="Y2" s="72" t="s">
        <v>45</v>
      </c>
      <c r="Z2" s="71" t="s">
        <v>46</v>
      </c>
      <c r="AA2" s="69" t="s">
        <v>47</v>
      </c>
      <c r="AB2" s="69" t="s">
        <v>48</v>
      </c>
      <c r="AC2" s="71" t="s">
        <v>49</v>
      </c>
      <c r="AE2" s="71" t="s">
        <v>50</v>
      </c>
      <c r="AF2" s="71" t="s">
        <v>51</v>
      </c>
      <c r="AG2" s="71" t="s">
        <v>52</v>
      </c>
    </row>
    <row r="3" spans="1:33" s="13" customFormat="1" ht="15.6" x14ac:dyDescent="0.3">
      <c r="A3" s="71"/>
      <c r="B3" s="80"/>
      <c r="C3" s="71"/>
      <c r="D3" s="70"/>
      <c r="E3" s="70"/>
      <c r="F3" s="84"/>
      <c r="G3" s="85"/>
      <c r="H3" s="86"/>
      <c r="I3" s="14">
        <f>DATE(2026,1,1)</f>
        <v>46023</v>
      </c>
      <c r="J3" s="14">
        <f t="shared" ref="J3:T3" si="0">EDATE(I3,1)</f>
        <v>46054</v>
      </c>
      <c r="K3" s="14">
        <f t="shared" si="0"/>
        <v>46082</v>
      </c>
      <c r="L3" s="14">
        <f t="shared" si="0"/>
        <v>46113</v>
      </c>
      <c r="M3" s="14">
        <f t="shared" si="0"/>
        <v>46143</v>
      </c>
      <c r="N3" s="14">
        <f t="shared" si="0"/>
        <v>46174</v>
      </c>
      <c r="O3" s="14">
        <f t="shared" si="0"/>
        <v>46204</v>
      </c>
      <c r="P3" s="14">
        <f t="shared" si="0"/>
        <v>46235</v>
      </c>
      <c r="Q3" s="14">
        <f t="shared" si="0"/>
        <v>46266</v>
      </c>
      <c r="R3" s="14">
        <f t="shared" si="0"/>
        <v>46296</v>
      </c>
      <c r="S3" s="14">
        <f t="shared" si="0"/>
        <v>46327</v>
      </c>
      <c r="T3" s="14">
        <f t="shared" si="0"/>
        <v>46357</v>
      </c>
      <c r="U3" s="71"/>
      <c r="V3" s="76"/>
      <c r="W3" s="76"/>
      <c r="X3" s="71"/>
      <c r="Y3" s="73"/>
      <c r="Z3" s="71"/>
      <c r="AA3" s="70"/>
      <c r="AB3" s="70"/>
      <c r="AC3" s="71"/>
      <c r="AE3" s="71"/>
      <c r="AF3" s="71"/>
      <c r="AG3" s="71"/>
    </row>
    <row r="4" spans="1:33" ht="15" customHeight="1" x14ac:dyDescent="0.3">
      <c r="A4" s="15">
        <v>1</v>
      </c>
      <c r="B4" s="62" t="s">
        <v>53</v>
      </c>
      <c r="C4" s="65" t="s">
        <v>54</v>
      </c>
      <c r="D4" s="65" t="s">
        <v>127</v>
      </c>
      <c r="E4" s="15" t="s">
        <v>22</v>
      </c>
      <c r="F4" s="18" t="s">
        <v>30</v>
      </c>
      <c r="G4" s="4" t="str" cm="1">
        <f t="array" ref="G4:G129">E4:E129 &amp; " | " &amp; F4:F129</f>
        <v>Implementasi | Pembangunan Fisik</v>
      </c>
      <c r="H4" s="4" cm="1">
        <f t="array" ref="H4:H129">IFERROR(_xlfn.XLOOKUP(G4:G129, $AE$4:$AE$19, $AG$4:$AG$19), "")</f>
        <v>1</v>
      </c>
      <c r="I4" s="19">
        <f t="shared" ref="I4:T19" si="1">IF(AND(I$3 &gt;= $V4, I$3 &lt;= $W4), $H4, "")</f>
        <v>1</v>
      </c>
      <c r="J4" s="20">
        <f t="shared" si="1"/>
        <v>1</v>
      </c>
      <c r="K4" s="20">
        <f t="shared" si="1"/>
        <v>1</v>
      </c>
      <c r="L4" s="20" t="str">
        <f t="shared" si="1"/>
        <v/>
      </c>
      <c r="M4" s="20" t="str">
        <f t="shared" si="1"/>
        <v/>
      </c>
      <c r="N4" s="20" t="str">
        <f t="shared" si="1"/>
        <v/>
      </c>
      <c r="O4" s="20" t="str">
        <f t="shared" si="1"/>
        <v/>
      </c>
      <c r="P4" s="20" t="str">
        <f t="shared" si="1"/>
        <v/>
      </c>
      <c r="Q4" s="20" t="str">
        <f t="shared" si="1"/>
        <v/>
      </c>
      <c r="R4" s="20" t="str">
        <f t="shared" si="1"/>
        <v/>
      </c>
      <c r="S4" s="20" t="str">
        <f t="shared" si="1"/>
        <v/>
      </c>
      <c r="T4" s="21" t="str">
        <f t="shared" si="1"/>
        <v/>
      </c>
      <c r="U4" s="22" t="b">
        <v>1</v>
      </c>
      <c r="V4" s="23">
        <v>46023</v>
      </c>
      <c r="W4" s="23">
        <v>46082</v>
      </c>
      <c r="X4" s="65" t="s">
        <v>37</v>
      </c>
      <c r="Y4" s="29">
        <v>46021</v>
      </c>
      <c r="Z4" s="4" t="str" cm="1">
        <f t="array" aca="1" ref="Z4:Z129" ca="1">IFERROR(
    IF(V4:V129="",
        "",
        IF(U4:U129=TRUE,
            IF(TODAY()&lt;V4:V129, "AHEAD", "ON TRACK"),
            IF(
                TODAY() &gt; (DATE(YEAR(V4:V129), MONTH(V4:V129)+1, 1)-1),
                "BEHIND",
                IF(TODAY()&gt;=V4:V129, "ON TRACK", "NOT STARTED")
            )
        )
    ),
"")</f>
        <v>ON TRACK</v>
      </c>
      <c r="AE4" s="24" t="s">
        <v>55</v>
      </c>
      <c r="AF4" s="25"/>
      <c r="AG4" s="15">
        <v>1</v>
      </c>
    </row>
    <row r="5" spans="1:33" ht="15" customHeight="1" x14ac:dyDescent="0.3">
      <c r="A5" s="15">
        <v>2</v>
      </c>
      <c r="B5" s="62" t="s">
        <v>53</v>
      </c>
      <c r="C5" s="65" t="s">
        <v>54</v>
      </c>
      <c r="D5" s="65" t="s">
        <v>127</v>
      </c>
      <c r="E5" s="15" t="s">
        <v>22</v>
      </c>
      <c r="F5" s="18" t="s">
        <v>24</v>
      </c>
      <c r="G5" s="4" t="str">
        <v>Implementasi | BAST 1</v>
      </c>
      <c r="H5" s="4">
        <v>2</v>
      </c>
      <c r="I5" s="26" t="str">
        <f>IF(AND(I$3 &gt;= $V5, I$3 &lt;= $W5), $H5, "")</f>
        <v/>
      </c>
      <c r="J5" s="27" t="str">
        <f t="shared" si="1"/>
        <v/>
      </c>
      <c r="K5" s="27" t="str">
        <f t="shared" si="1"/>
        <v/>
      </c>
      <c r="L5" s="27">
        <f t="shared" si="1"/>
        <v>2</v>
      </c>
      <c r="M5" s="27" t="str">
        <f t="shared" si="1"/>
        <v/>
      </c>
      <c r="N5" s="27" t="str">
        <f t="shared" si="1"/>
        <v/>
      </c>
      <c r="O5" s="27" t="str">
        <f t="shared" si="1"/>
        <v/>
      </c>
      <c r="P5" s="27" t="str">
        <f t="shared" si="1"/>
        <v/>
      </c>
      <c r="Q5" s="27" t="str">
        <f t="shared" si="1"/>
        <v/>
      </c>
      <c r="R5" s="27" t="str">
        <f t="shared" si="1"/>
        <v/>
      </c>
      <c r="S5" s="27" t="str">
        <f t="shared" si="1"/>
        <v/>
      </c>
      <c r="T5" s="28" t="str">
        <f t="shared" si="1"/>
        <v/>
      </c>
      <c r="U5" s="22" t="b">
        <v>1</v>
      </c>
      <c r="V5" s="23">
        <v>46113</v>
      </c>
      <c r="W5" s="23">
        <v>46113</v>
      </c>
      <c r="X5" s="65" t="s">
        <v>37</v>
      </c>
      <c r="Y5" s="29">
        <v>46142</v>
      </c>
      <c r="Z5" s="4" t="str">
        <f ca="1"/>
        <v>ON TRACK</v>
      </c>
      <c r="AE5" s="30" t="s">
        <v>56</v>
      </c>
      <c r="AF5" s="31"/>
      <c r="AG5" s="15">
        <v>2</v>
      </c>
    </row>
    <row r="6" spans="1:33" ht="15" customHeight="1" x14ac:dyDescent="0.3">
      <c r="A6" s="15">
        <v>3</v>
      </c>
      <c r="B6" s="62" t="s">
        <v>53</v>
      </c>
      <c r="C6" s="65" t="s">
        <v>57</v>
      </c>
      <c r="D6" s="65" t="s">
        <v>128</v>
      </c>
      <c r="E6" s="15" t="s">
        <v>13</v>
      </c>
      <c r="F6" s="15" t="s">
        <v>15</v>
      </c>
      <c r="G6" s="4" t="str">
        <v>Pra Pembangunan dan Pra Pengadaan | RPP</v>
      </c>
      <c r="H6" s="4">
        <v>4</v>
      </c>
      <c r="I6" s="19" t="str">
        <f t="shared" si="1"/>
        <v/>
      </c>
      <c r="J6" s="20" t="str">
        <f t="shared" si="1"/>
        <v/>
      </c>
      <c r="K6" s="20" t="str">
        <f t="shared" si="1"/>
        <v/>
      </c>
      <c r="L6" s="20" t="str">
        <f t="shared" si="1"/>
        <v/>
      </c>
      <c r="M6" s="20" t="str">
        <f t="shared" si="1"/>
        <v/>
      </c>
      <c r="N6" s="20">
        <f t="shared" si="1"/>
        <v>4</v>
      </c>
      <c r="O6" s="20" t="str">
        <f t="shared" si="1"/>
        <v/>
      </c>
      <c r="P6" s="20" t="str">
        <f t="shared" si="1"/>
        <v/>
      </c>
      <c r="Q6" s="20" t="str">
        <f t="shared" si="1"/>
        <v/>
      </c>
      <c r="R6" s="20" t="str">
        <f t="shared" si="1"/>
        <v/>
      </c>
      <c r="S6" s="20" t="str">
        <f t="shared" si="1"/>
        <v/>
      </c>
      <c r="T6" s="21" t="str">
        <f t="shared" si="1"/>
        <v/>
      </c>
      <c r="U6" s="22" t="b">
        <v>1</v>
      </c>
      <c r="V6" s="23">
        <v>46174</v>
      </c>
      <c r="W6" s="23">
        <v>46174</v>
      </c>
      <c r="X6" s="65" t="s">
        <v>37</v>
      </c>
      <c r="Y6" s="32">
        <v>46198</v>
      </c>
      <c r="Z6" s="4" t="str">
        <f ca="1"/>
        <v>ON TRACK</v>
      </c>
      <c r="AE6" s="30" t="s">
        <v>58</v>
      </c>
      <c r="AF6" s="31"/>
      <c r="AG6" s="15">
        <v>3</v>
      </c>
    </row>
    <row r="7" spans="1:33" ht="15" customHeight="1" x14ac:dyDescent="0.3">
      <c r="A7" s="15">
        <v>4</v>
      </c>
      <c r="B7" s="62" t="s">
        <v>53</v>
      </c>
      <c r="C7" s="65" t="s">
        <v>57</v>
      </c>
      <c r="D7" s="65" t="s">
        <v>128</v>
      </c>
      <c r="E7" s="15" t="s">
        <v>13</v>
      </c>
      <c r="F7" s="15" t="s">
        <v>16</v>
      </c>
      <c r="G7" s="4" t="str">
        <v>Pra Pembangunan dan Pra Pengadaan | RBTek</v>
      </c>
      <c r="H7" s="4">
        <v>6</v>
      </c>
      <c r="I7" s="26" t="str">
        <f t="shared" si="1"/>
        <v/>
      </c>
      <c r="J7" s="27" t="str">
        <f t="shared" si="1"/>
        <v/>
      </c>
      <c r="K7" s="27" t="str">
        <f t="shared" si="1"/>
        <v/>
      </c>
      <c r="L7" s="27" t="str">
        <f t="shared" si="1"/>
        <v/>
      </c>
      <c r="M7" s="27" t="str">
        <f t="shared" si="1"/>
        <v/>
      </c>
      <c r="N7" s="27" t="str">
        <f t="shared" si="1"/>
        <v/>
      </c>
      <c r="O7" s="27" t="str">
        <f t="shared" si="1"/>
        <v/>
      </c>
      <c r="P7" s="27" t="str">
        <f t="shared" si="1"/>
        <v/>
      </c>
      <c r="Q7" s="27">
        <f t="shared" si="1"/>
        <v>6</v>
      </c>
      <c r="R7" s="27" t="str">
        <f t="shared" si="1"/>
        <v/>
      </c>
      <c r="S7" s="27" t="str">
        <f t="shared" si="1"/>
        <v/>
      </c>
      <c r="T7" s="28" t="str">
        <f t="shared" si="1"/>
        <v/>
      </c>
      <c r="U7" s="22" t="b">
        <v>1</v>
      </c>
      <c r="V7" s="23">
        <v>46266</v>
      </c>
      <c r="W7" s="23">
        <v>46266</v>
      </c>
      <c r="X7" s="65" t="s">
        <v>37</v>
      </c>
      <c r="Y7" s="32">
        <v>46246</v>
      </c>
      <c r="Z7" s="4" t="str">
        <f ca="1"/>
        <v>ON TRACK</v>
      </c>
      <c r="AE7" s="33" t="s">
        <v>59</v>
      </c>
      <c r="AF7" s="34"/>
      <c r="AG7" s="15">
        <v>4</v>
      </c>
    </row>
    <row r="8" spans="1:33" ht="15" customHeight="1" x14ac:dyDescent="0.3">
      <c r="A8" s="15">
        <v>5</v>
      </c>
      <c r="B8" s="62" t="s">
        <v>53</v>
      </c>
      <c r="C8" s="65" t="s">
        <v>57</v>
      </c>
      <c r="D8" s="65" t="s">
        <v>128</v>
      </c>
      <c r="E8" s="15" t="s">
        <v>21</v>
      </c>
      <c r="F8" s="15" t="s">
        <v>18</v>
      </c>
      <c r="G8" s="4" t="str">
        <v>Pengadaan - Kontraktor | KAK</v>
      </c>
      <c r="H8" s="4">
        <v>7</v>
      </c>
      <c r="I8" s="26" t="str">
        <f t="shared" si="1"/>
        <v/>
      </c>
      <c r="J8" s="27" t="str">
        <f t="shared" si="1"/>
        <v/>
      </c>
      <c r="K8" s="27" t="str">
        <f t="shared" si="1"/>
        <v/>
      </c>
      <c r="L8" s="27" t="str">
        <f t="shared" si="1"/>
        <v/>
      </c>
      <c r="M8" s="27" t="str">
        <f t="shared" si="1"/>
        <v/>
      </c>
      <c r="N8" s="27" t="str">
        <f t="shared" si="1"/>
        <v/>
      </c>
      <c r="O8" s="27" t="str">
        <f t="shared" si="1"/>
        <v/>
      </c>
      <c r="P8" s="27" t="str">
        <f t="shared" si="1"/>
        <v/>
      </c>
      <c r="Q8" s="27">
        <f t="shared" si="1"/>
        <v>7</v>
      </c>
      <c r="R8" s="27">
        <f t="shared" si="1"/>
        <v>7</v>
      </c>
      <c r="S8" s="27">
        <f t="shared" si="1"/>
        <v>7</v>
      </c>
      <c r="T8" s="28" t="str">
        <f t="shared" si="1"/>
        <v/>
      </c>
      <c r="U8" s="22" t="b">
        <v>1</v>
      </c>
      <c r="V8" s="23">
        <v>46266</v>
      </c>
      <c r="W8" s="23">
        <v>46327</v>
      </c>
      <c r="X8" s="65" t="s">
        <v>37</v>
      </c>
      <c r="Y8" s="32">
        <v>46246</v>
      </c>
      <c r="Z8" s="4" t="str">
        <f ca="1"/>
        <v>ON TRACK</v>
      </c>
      <c r="AE8" s="33" t="s">
        <v>60</v>
      </c>
      <c r="AF8" s="35"/>
      <c r="AG8" s="15">
        <v>5</v>
      </c>
    </row>
    <row r="9" spans="1:33" ht="15" customHeight="1" x14ac:dyDescent="0.3">
      <c r="A9" s="15">
        <v>6</v>
      </c>
      <c r="B9" s="62" t="s">
        <v>53</v>
      </c>
      <c r="C9" s="65" t="s">
        <v>57</v>
      </c>
      <c r="D9" s="65" t="s">
        <v>128</v>
      </c>
      <c r="E9" s="15" t="s">
        <v>17</v>
      </c>
      <c r="F9" s="15" t="s">
        <v>19</v>
      </c>
      <c r="G9" s="4" t="str">
        <v>Pengadaan - Kons. Perancang | SPPP</v>
      </c>
      <c r="H9" s="4">
        <v>10</v>
      </c>
      <c r="I9" s="26" t="str">
        <f t="shared" si="1"/>
        <v/>
      </c>
      <c r="J9" s="27">
        <f t="shared" si="1"/>
        <v>10</v>
      </c>
      <c r="K9" s="27">
        <f t="shared" si="1"/>
        <v>10</v>
      </c>
      <c r="L9" s="27">
        <f t="shared" si="1"/>
        <v>10</v>
      </c>
      <c r="M9" s="27">
        <f t="shared" si="1"/>
        <v>10</v>
      </c>
      <c r="N9" s="27">
        <f t="shared" si="1"/>
        <v>10</v>
      </c>
      <c r="O9" s="27">
        <f t="shared" si="1"/>
        <v>10</v>
      </c>
      <c r="P9" s="27">
        <f t="shared" si="1"/>
        <v>10</v>
      </c>
      <c r="Q9" s="27" t="str">
        <f t="shared" si="1"/>
        <v/>
      </c>
      <c r="R9" s="27" t="str">
        <f t="shared" si="1"/>
        <v/>
      </c>
      <c r="S9" s="27" t="str">
        <f t="shared" si="1"/>
        <v/>
      </c>
      <c r="T9" s="28" t="str">
        <f t="shared" si="1"/>
        <v/>
      </c>
      <c r="U9" s="22" t="b">
        <v>1</v>
      </c>
      <c r="V9" s="23">
        <v>46054</v>
      </c>
      <c r="W9" s="23">
        <v>46235</v>
      </c>
      <c r="X9" s="65" t="s">
        <v>37</v>
      </c>
      <c r="Y9" s="32">
        <v>46132</v>
      </c>
      <c r="Z9" s="4" t="str">
        <f ca="1"/>
        <v>ON TRACK</v>
      </c>
      <c r="AA9" s="4" t="s">
        <v>61</v>
      </c>
      <c r="AB9" s="4" t="s">
        <v>62</v>
      </c>
      <c r="AC9" s="36" t="s">
        <v>63</v>
      </c>
      <c r="AE9" s="33" t="s">
        <v>64</v>
      </c>
      <c r="AF9" s="37"/>
      <c r="AG9" s="15">
        <v>6</v>
      </c>
    </row>
    <row r="10" spans="1:33" ht="15" customHeight="1" x14ac:dyDescent="0.3">
      <c r="A10" s="15">
        <v>7</v>
      </c>
      <c r="B10" s="62" t="s">
        <v>53</v>
      </c>
      <c r="C10" s="65" t="s">
        <v>57</v>
      </c>
      <c r="D10" s="65" t="s">
        <v>128</v>
      </c>
      <c r="E10" s="15" t="s">
        <v>21</v>
      </c>
      <c r="F10" s="15" t="s">
        <v>19</v>
      </c>
      <c r="G10" s="4" t="str">
        <v>Pengadaan - Kontraktor | SPPP</v>
      </c>
      <c r="H10" s="4">
        <v>8</v>
      </c>
      <c r="I10" s="26" t="str">
        <f t="shared" si="1"/>
        <v/>
      </c>
      <c r="J10" s="27" t="str">
        <f t="shared" si="1"/>
        <v/>
      </c>
      <c r="K10" s="27" t="str">
        <f t="shared" si="1"/>
        <v/>
      </c>
      <c r="L10" s="27" t="str">
        <f t="shared" si="1"/>
        <v/>
      </c>
      <c r="M10" s="27" t="str">
        <f t="shared" si="1"/>
        <v/>
      </c>
      <c r="N10" s="27" t="str">
        <f t="shared" si="1"/>
        <v/>
      </c>
      <c r="O10" s="27" t="str">
        <f t="shared" si="1"/>
        <v/>
      </c>
      <c r="P10" s="27" t="str">
        <f t="shared" si="1"/>
        <v/>
      </c>
      <c r="Q10" s="27" t="str">
        <f t="shared" si="1"/>
        <v/>
      </c>
      <c r="R10" s="27" t="str">
        <f t="shared" si="1"/>
        <v/>
      </c>
      <c r="S10" s="27" t="str">
        <f t="shared" si="1"/>
        <v/>
      </c>
      <c r="T10" s="28">
        <f t="shared" si="1"/>
        <v>8</v>
      </c>
      <c r="U10" s="22" t="b">
        <v>0</v>
      </c>
      <c r="V10" s="23">
        <v>46357</v>
      </c>
      <c r="W10" s="23">
        <v>46357</v>
      </c>
      <c r="X10" s="65" t="s">
        <v>37</v>
      </c>
      <c r="Z10" s="4" t="str">
        <f ca="1"/>
        <v>NOT STARTED</v>
      </c>
      <c r="AE10" s="33" t="s">
        <v>65</v>
      </c>
      <c r="AF10" s="38"/>
      <c r="AG10" s="15">
        <v>7</v>
      </c>
    </row>
    <row r="11" spans="1:33" ht="15" customHeight="1" x14ac:dyDescent="0.3">
      <c r="A11" s="15">
        <v>8</v>
      </c>
      <c r="B11" s="62" t="s">
        <v>53</v>
      </c>
      <c r="C11" s="65" t="s">
        <v>66</v>
      </c>
      <c r="D11" s="65" t="s">
        <v>127</v>
      </c>
      <c r="E11" s="15" t="s">
        <v>13</v>
      </c>
      <c r="F11" s="15" t="s">
        <v>15</v>
      </c>
      <c r="G11" s="4" t="str">
        <v>Pra Pembangunan dan Pra Pengadaan | RPP</v>
      </c>
      <c r="H11" s="4">
        <v>4</v>
      </c>
      <c r="I11" s="19" t="str">
        <f t="shared" si="1"/>
        <v/>
      </c>
      <c r="J11" s="20" t="str">
        <f t="shared" si="1"/>
        <v/>
      </c>
      <c r="K11" s="20" t="str">
        <f t="shared" si="1"/>
        <v/>
      </c>
      <c r="L11" s="20" t="str">
        <f t="shared" si="1"/>
        <v/>
      </c>
      <c r="M11" s="20" t="str">
        <f t="shared" si="1"/>
        <v/>
      </c>
      <c r="N11" s="20" t="str">
        <f t="shared" si="1"/>
        <v/>
      </c>
      <c r="O11" s="20" t="str">
        <f t="shared" si="1"/>
        <v/>
      </c>
      <c r="P11" s="20" t="str">
        <f t="shared" si="1"/>
        <v/>
      </c>
      <c r="Q11" s="20" t="str">
        <f t="shared" si="1"/>
        <v/>
      </c>
      <c r="R11" s="20">
        <f t="shared" si="1"/>
        <v>4</v>
      </c>
      <c r="S11" s="20" t="str">
        <f t="shared" si="1"/>
        <v/>
      </c>
      <c r="T11" s="21" t="str">
        <f t="shared" si="1"/>
        <v/>
      </c>
      <c r="U11" s="22" t="b">
        <v>0</v>
      </c>
      <c r="V11" s="23">
        <v>46296</v>
      </c>
      <c r="W11" s="23">
        <v>46296</v>
      </c>
      <c r="X11" s="65" t="s">
        <v>39</v>
      </c>
      <c r="Z11" s="4" t="str">
        <f ca="1"/>
        <v>NOT STARTED</v>
      </c>
      <c r="AE11" s="33" t="s">
        <v>67</v>
      </c>
      <c r="AF11" s="38"/>
      <c r="AG11" s="15">
        <v>8</v>
      </c>
    </row>
    <row r="12" spans="1:33" ht="15" customHeight="1" x14ac:dyDescent="0.3">
      <c r="A12" s="15">
        <v>9</v>
      </c>
      <c r="B12" s="62" t="s">
        <v>53</v>
      </c>
      <c r="C12" s="65" t="s">
        <v>66</v>
      </c>
      <c r="D12" s="65" t="s">
        <v>127</v>
      </c>
      <c r="E12" s="15" t="s">
        <v>20</v>
      </c>
      <c r="F12" s="15" t="s">
        <v>18</v>
      </c>
      <c r="G12" s="4" t="str">
        <v>Pengadaan - Kons. MK | KAK</v>
      </c>
      <c r="H12" s="4">
        <v>11</v>
      </c>
      <c r="I12" s="26" t="str">
        <f t="shared" si="1"/>
        <v/>
      </c>
      <c r="J12" s="27" t="str">
        <f t="shared" si="1"/>
        <v/>
      </c>
      <c r="K12" s="27" t="str">
        <f t="shared" si="1"/>
        <v/>
      </c>
      <c r="L12" s="27" t="str">
        <f t="shared" si="1"/>
        <v/>
      </c>
      <c r="M12" s="27" t="str">
        <f t="shared" si="1"/>
        <v/>
      </c>
      <c r="N12" s="27" t="str">
        <f t="shared" si="1"/>
        <v/>
      </c>
      <c r="O12" s="27" t="str">
        <f t="shared" si="1"/>
        <v/>
      </c>
      <c r="P12" s="27">
        <f t="shared" si="1"/>
        <v>11</v>
      </c>
      <c r="Q12" s="27">
        <f t="shared" si="1"/>
        <v>11</v>
      </c>
      <c r="R12" s="27">
        <f t="shared" si="1"/>
        <v>11</v>
      </c>
      <c r="S12" s="27" t="str">
        <f t="shared" si="1"/>
        <v/>
      </c>
      <c r="T12" s="28" t="str">
        <f t="shared" si="1"/>
        <v/>
      </c>
      <c r="U12" s="22" t="b">
        <v>0</v>
      </c>
      <c r="V12" s="23">
        <v>46235</v>
      </c>
      <c r="W12" s="23">
        <v>46296</v>
      </c>
      <c r="X12" s="65" t="s">
        <v>39</v>
      </c>
      <c r="Z12" s="4" t="str">
        <f ca="1"/>
        <v>BEHIND</v>
      </c>
      <c r="AE12" s="33" t="s">
        <v>68</v>
      </c>
      <c r="AF12" s="39"/>
      <c r="AG12" s="15">
        <v>9</v>
      </c>
    </row>
    <row r="13" spans="1:33" ht="15" customHeight="1" x14ac:dyDescent="0.3">
      <c r="A13" s="15">
        <v>10</v>
      </c>
      <c r="B13" s="62" t="s">
        <v>53</v>
      </c>
      <c r="C13" s="65" t="s">
        <v>66</v>
      </c>
      <c r="D13" s="65" t="s">
        <v>127</v>
      </c>
      <c r="E13" s="15" t="s">
        <v>20</v>
      </c>
      <c r="F13" s="15" t="s">
        <v>19</v>
      </c>
      <c r="G13" s="4" t="str">
        <v>Pengadaan - Kons. MK | SPPP</v>
      </c>
      <c r="H13" s="4">
        <v>12</v>
      </c>
      <c r="I13" s="26" t="str">
        <f t="shared" si="1"/>
        <v/>
      </c>
      <c r="J13" s="27" t="str">
        <f t="shared" si="1"/>
        <v/>
      </c>
      <c r="K13" s="27" t="str">
        <f t="shared" si="1"/>
        <v/>
      </c>
      <c r="L13" s="27" t="str">
        <f t="shared" si="1"/>
        <v/>
      </c>
      <c r="M13" s="27" t="str">
        <f t="shared" si="1"/>
        <v/>
      </c>
      <c r="N13" s="27" t="str">
        <f t="shared" si="1"/>
        <v/>
      </c>
      <c r="O13" s="27" t="str">
        <f t="shared" si="1"/>
        <v/>
      </c>
      <c r="P13" s="27" t="str">
        <f t="shared" si="1"/>
        <v/>
      </c>
      <c r="Q13" s="27" t="str">
        <f t="shared" si="1"/>
        <v/>
      </c>
      <c r="R13" s="27" t="str">
        <f t="shared" si="1"/>
        <v/>
      </c>
      <c r="S13" s="27">
        <f t="shared" si="1"/>
        <v>12</v>
      </c>
      <c r="T13" s="28">
        <f t="shared" si="1"/>
        <v>12</v>
      </c>
      <c r="U13" s="22" t="b">
        <v>0</v>
      </c>
      <c r="V13" s="23">
        <v>46327</v>
      </c>
      <c r="W13" s="23">
        <v>46357</v>
      </c>
      <c r="X13" s="65" t="s">
        <v>39</v>
      </c>
      <c r="Z13" s="4" t="str">
        <f ca="1"/>
        <v>NOT STARTED</v>
      </c>
      <c r="AE13" s="33" t="s">
        <v>69</v>
      </c>
      <c r="AF13" s="39"/>
      <c r="AG13" s="15">
        <v>10</v>
      </c>
    </row>
    <row r="14" spans="1:33" ht="15" customHeight="1" x14ac:dyDescent="0.3">
      <c r="A14" s="15">
        <v>11</v>
      </c>
      <c r="B14" s="62" t="s">
        <v>70</v>
      </c>
      <c r="C14" s="65" t="s">
        <v>57</v>
      </c>
      <c r="D14" s="65" t="s">
        <v>127</v>
      </c>
      <c r="E14" s="15" t="s">
        <v>21</v>
      </c>
      <c r="F14" s="15" t="s">
        <v>18</v>
      </c>
      <c r="G14" s="4" t="str">
        <v>Pengadaan - Kontraktor | KAK</v>
      </c>
      <c r="H14" s="4">
        <v>7</v>
      </c>
      <c r="I14" s="19" t="str">
        <f t="shared" si="1"/>
        <v/>
      </c>
      <c r="J14" s="20" t="str">
        <f t="shared" si="1"/>
        <v/>
      </c>
      <c r="K14" s="20" t="str">
        <f t="shared" si="1"/>
        <v/>
      </c>
      <c r="L14" s="20" t="str">
        <f t="shared" si="1"/>
        <v/>
      </c>
      <c r="M14" s="20" t="str">
        <f t="shared" si="1"/>
        <v/>
      </c>
      <c r="N14" s="20">
        <f t="shared" si="1"/>
        <v>7</v>
      </c>
      <c r="O14" s="20">
        <f t="shared" si="1"/>
        <v>7</v>
      </c>
      <c r="P14" s="20">
        <f t="shared" si="1"/>
        <v>7</v>
      </c>
      <c r="Q14" s="20">
        <f t="shared" si="1"/>
        <v>7</v>
      </c>
      <c r="R14" s="20" t="str">
        <f t="shared" si="1"/>
        <v/>
      </c>
      <c r="S14" s="20" t="str">
        <f t="shared" si="1"/>
        <v/>
      </c>
      <c r="T14" s="21" t="str">
        <f t="shared" si="1"/>
        <v/>
      </c>
      <c r="U14" s="22" t="b">
        <v>1</v>
      </c>
      <c r="V14" s="23">
        <v>46174</v>
      </c>
      <c r="W14" s="23">
        <v>46266</v>
      </c>
      <c r="X14" s="65" t="s">
        <v>38</v>
      </c>
      <c r="Y14" s="32">
        <v>46178</v>
      </c>
      <c r="Z14" s="4" t="str">
        <f ca="1"/>
        <v>ON TRACK</v>
      </c>
      <c r="AB14" s="4" t="s">
        <v>71</v>
      </c>
      <c r="AE14" s="33" t="s">
        <v>72</v>
      </c>
      <c r="AF14" s="40"/>
      <c r="AG14" s="15">
        <v>11</v>
      </c>
    </row>
    <row r="15" spans="1:33" ht="15" customHeight="1" x14ac:dyDescent="0.3">
      <c r="A15" s="15">
        <v>12</v>
      </c>
      <c r="B15" s="62" t="s">
        <v>70</v>
      </c>
      <c r="C15" s="65" t="s">
        <v>57</v>
      </c>
      <c r="D15" s="65" t="s">
        <v>127</v>
      </c>
      <c r="E15" s="15" t="s">
        <v>21</v>
      </c>
      <c r="F15" s="15" t="s">
        <v>19</v>
      </c>
      <c r="G15" s="4" t="str">
        <v>Pengadaan - Kontraktor | SPPP</v>
      </c>
      <c r="H15" s="4">
        <v>8</v>
      </c>
      <c r="I15" s="26" t="str">
        <f t="shared" si="1"/>
        <v/>
      </c>
      <c r="J15" s="27" t="str">
        <f t="shared" si="1"/>
        <v/>
      </c>
      <c r="K15" s="27" t="str">
        <f t="shared" si="1"/>
        <v/>
      </c>
      <c r="L15" s="27" t="str">
        <f t="shared" si="1"/>
        <v/>
      </c>
      <c r="M15" s="27" t="str">
        <f t="shared" si="1"/>
        <v/>
      </c>
      <c r="N15" s="27" t="str">
        <f t="shared" si="1"/>
        <v/>
      </c>
      <c r="O15" s="27" t="str">
        <f t="shared" si="1"/>
        <v/>
      </c>
      <c r="P15" s="27" t="str">
        <f t="shared" si="1"/>
        <v/>
      </c>
      <c r="Q15" s="27" t="str">
        <f t="shared" si="1"/>
        <v/>
      </c>
      <c r="R15" s="27">
        <f t="shared" si="1"/>
        <v>8</v>
      </c>
      <c r="S15" s="27" t="str">
        <f t="shared" si="1"/>
        <v/>
      </c>
      <c r="T15" s="28" t="str">
        <f t="shared" si="1"/>
        <v/>
      </c>
      <c r="U15" s="22" t="b">
        <v>1</v>
      </c>
      <c r="V15" s="23">
        <v>46296</v>
      </c>
      <c r="W15" s="23">
        <v>46296</v>
      </c>
      <c r="X15" s="65" t="s">
        <v>38</v>
      </c>
      <c r="Z15" s="4" t="str">
        <f ca="1"/>
        <v>AHEAD</v>
      </c>
      <c r="AC15" s="4" t="s">
        <v>73</v>
      </c>
      <c r="AE15" s="33" t="s">
        <v>74</v>
      </c>
      <c r="AF15" s="40"/>
      <c r="AG15" s="15">
        <v>12</v>
      </c>
    </row>
    <row r="16" spans="1:33" ht="15" customHeight="1" x14ac:dyDescent="0.3">
      <c r="A16" s="15">
        <v>13</v>
      </c>
      <c r="B16" s="62" t="s">
        <v>70</v>
      </c>
      <c r="C16" s="65" t="s">
        <v>57</v>
      </c>
      <c r="D16" s="65" t="s">
        <v>127</v>
      </c>
      <c r="E16" s="15" t="s">
        <v>22</v>
      </c>
      <c r="F16" s="18" t="s">
        <v>30</v>
      </c>
      <c r="G16" s="4" t="str">
        <v>Implementasi | Pembangunan Fisik</v>
      </c>
      <c r="H16" s="4">
        <v>1</v>
      </c>
      <c r="I16" s="26" t="str">
        <f t="shared" si="1"/>
        <v/>
      </c>
      <c r="J16" s="27" t="str">
        <f t="shared" si="1"/>
        <v/>
      </c>
      <c r="K16" s="27" t="str">
        <f t="shared" si="1"/>
        <v/>
      </c>
      <c r="L16" s="27" t="str">
        <f t="shared" si="1"/>
        <v/>
      </c>
      <c r="M16" s="27" t="str">
        <f t="shared" si="1"/>
        <v/>
      </c>
      <c r="N16" s="27" t="str">
        <f t="shared" si="1"/>
        <v/>
      </c>
      <c r="O16" s="27" t="str">
        <f t="shared" si="1"/>
        <v/>
      </c>
      <c r="P16" s="27" t="str">
        <f t="shared" si="1"/>
        <v/>
      </c>
      <c r="Q16" s="27" t="str">
        <f t="shared" si="1"/>
        <v/>
      </c>
      <c r="R16" s="27" t="str">
        <f t="shared" si="1"/>
        <v/>
      </c>
      <c r="S16" s="27">
        <f t="shared" si="1"/>
        <v>1</v>
      </c>
      <c r="T16" s="28" t="str">
        <f t="shared" si="1"/>
        <v/>
      </c>
      <c r="U16" s="22" t="b">
        <v>0</v>
      </c>
      <c r="V16" s="23">
        <v>46327</v>
      </c>
      <c r="W16" s="23">
        <v>46327</v>
      </c>
      <c r="X16" s="65" t="s">
        <v>38</v>
      </c>
      <c r="Z16" s="4" t="str">
        <f ca="1"/>
        <v>NOT STARTED</v>
      </c>
      <c r="AE16" s="33" t="s">
        <v>75</v>
      </c>
      <c r="AF16" s="41"/>
      <c r="AG16" s="15">
        <v>13</v>
      </c>
    </row>
    <row r="17" spans="1:33" ht="15" customHeight="1" x14ac:dyDescent="0.3">
      <c r="A17" s="15">
        <v>14</v>
      </c>
      <c r="B17" s="62" t="s">
        <v>70</v>
      </c>
      <c r="C17" s="65" t="s">
        <v>57</v>
      </c>
      <c r="D17" s="65" t="s">
        <v>127</v>
      </c>
      <c r="E17" s="15" t="s">
        <v>22</v>
      </c>
      <c r="F17" s="15" t="s">
        <v>24</v>
      </c>
      <c r="G17" s="4" t="str">
        <v>Implementasi | BAST 1</v>
      </c>
      <c r="H17" s="4">
        <v>2</v>
      </c>
      <c r="I17" s="26" t="str">
        <f t="shared" si="1"/>
        <v/>
      </c>
      <c r="J17" s="27" t="str">
        <f t="shared" si="1"/>
        <v/>
      </c>
      <c r="K17" s="27" t="str">
        <f t="shared" si="1"/>
        <v/>
      </c>
      <c r="L17" s="27" t="str">
        <f t="shared" si="1"/>
        <v/>
      </c>
      <c r="M17" s="27" t="str">
        <f t="shared" si="1"/>
        <v/>
      </c>
      <c r="N17" s="27" t="str">
        <f t="shared" si="1"/>
        <v/>
      </c>
      <c r="O17" s="27" t="str">
        <f t="shared" si="1"/>
        <v/>
      </c>
      <c r="P17" s="27" t="str">
        <f t="shared" si="1"/>
        <v/>
      </c>
      <c r="Q17" s="27" t="str">
        <f t="shared" si="1"/>
        <v/>
      </c>
      <c r="R17" s="27" t="str">
        <f t="shared" si="1"/>
        <v/>
      </c>
      <c r="S17" s="27" t="str">
        <f t="shared" si="1"/>
        <v/>
      </c>
      <c r="T17" s="28">
        <f t="shared" si="1"/>
        <v>2</v>
      </c>
      <c r="U17" s="22" t="b">
        <v>0</v>
      </c>
      <c r="V17" s="23">
        <v>46357</v>
      </c>
      <c r="W17" s="23">
        <v>46357</v>
      </c>
      <c r="X17" s="65" t="s">
        <v>38</v>
      </c>
      <c r="Z17" s="4" t="str">
        <f ca="1"/>
        <v>NOT STARTED</v>
      </c>
      <c r="AE17" s="33" t="s">
        <v>76</v>
      </c>
      <c r="AF17" s="31"/>
      <c r="AG17" s="15">
        <v>14</v>
      </c>
    </row>
    <row r="18" spans="1:33" ht="15" customHeight="1" x14ac:dyDescent="0.3">
      <c r="A18" s="15">
        <v>15</v>
      </c>
      <c r="B18" s="62" t="s">
        <v>77</v>
      </c>
      <c r="C18" s="65">
        <v>1</v>
      </c>
      <c r="D18" s="65" t="s">
        <v>128</v>
      </c>
      <c r="E18" s="15" t="s">
        <v>22</v>
      </c>
      <c r="F18" s="18" t="s">
        <v>30</v>
      </c>
      <c r="G18" s="4" t="str">
        <v>Implementasi | Pembangunan Fisik</v>
      </c>
      <c r="H18" s="4">
        <v>1</v>
      </c>
      <c r="I18" s="19">
        <f t="shared" si="1"/>
        <v>1</v>
      </c>
      <c r="J18" s="20">
        <f t="shared" si="1"/>
        <v>1</v>
      </c>
      <c r="K18" s="20">
        <f t="shared" si="1"/>
        <v>1</v>
      </c>
      <c r="L18" s="20">
        <f t="shared" si="1"/>
        <v>1</v>
      </c>
      <c r="M18" s="20">
        <f t="shared" si="1"/>
        <v>1</v>
      </c>
      <c r="N18" s="20">
        <f t="shared" si="1"/>
        <v>1</v>
      </c>
      <c r="O18" s="20">
        <f t="shared" si="1"/>
        <v>1</v>
      </c>
      <c r="P18" s="20">
        <f t="shared" si="1"/>
        <v>1</v>
      </c>
      <c r="Q18" s="20">
        <f t="shared" si="1"/>
        <v>1</v>
      </c>
      <c r="R18" s="20">
        <f t="shared" si="1"/>
        <v>1</v>
      </c>
      <c r="S18" s="20">
        <f t="shared" si="1"/>
        <v>1</v>
      </c>
      <c r="T18" s="21" t="str">
        <f t="shared" si="1"/>
        <v/>
      </c>
      <c r="U18" s="22" t="b">
        <v>1</v>
      </c>
      <c r="V18" s="23">
        <v>46023</v>
      </c>
      <c r="W18" s="23">
        <v>46327</v>
      </c>
      <c r="X18" s="65" t="s">
        <v>37</v>
      </c>
      <c r="Z18" s="4" t="str">
        <f ca="1"/>
        <v>ON TRACK</v>
      </c>
      <c r="AE18" s="33" t="str">
        <f>G115</f>
        <v>Pra Pembangunan dan Pra Pengadaan | RPP</v>
      </c>
      <c r="AF18" s="41"/>
      <c r="AG18" s="15">
        <v>15</v>
      </c>
    </row>
    <row r="19" spans="1:33" ht="15" customHeight="1" x14ac:dyDescent="0.3">
      <c r="A19" s="15">
        <v>16</v>
      </c>
      <c r="B19" s="62" t="s">
        <v>77</v>
      </c>
      <c r="C19" s="65">
        <v>1</v>
      </c>
      <c r="D19" s="65" t="s">
        <v>128</v>
      </c>
      <c r="E19" s="15" t="s">
        <v>22</v>
      </c>
      <c r="F19" s="18" t="s">
        <v>78</v>
      </c>
      <c r="G19" s="4" t="str">
        <v>Implementasi | SLO / SLF / BAPP</v>
      </c>
      <c r="H19" s="4">
        <v>3</v>
      </c>
      <c r="I19" s="26" t="str">
        <f t="shared" si="1"/>
        <v/>
      </c>
      <c r="J19" s="27" t="str">
        <f t="shared" si="1"/>
        <v/>
      </c>
      <c r="K19" s="27" t="str">
        <f t="shared" si="1"/>
        <v/>
      </c>
      <c r="L19" s="27" t="str">
        <f t="shared" si="1"/>
        <v/>
      </c>
      <c r="M19" s="27" t="str">
        <f t="shared" si="1"/>
        <v/>
      </c>
      <c r="N19" s="27" t="str">
        <f t="shared" si="1"/>
        <v/>
      </c>
      <c r="O19" s="27" t="str">
        <f t="shared" si="1"/>
        <v/>
      </c>
      <c r="P19" s="27" t="str">
        <f t="shared" si="1"/>
        <v/>
      </c>
      <c r="Q19" s="27" t="str">
        <f t="shared" si="1"/>
        <v/>
      </c>
      <c r="R19" s="27" t="str">
        <f t="shared" si="1"/>
        <v/>
      </c>
      <c r="S19" s="27" t="str">
        <f t="shared" si="1"/>
        <v/>
      </c>
      <c r="T19" s="28">
        <f t="shared" si="1"/>
        <v>3</v>
      </c>
      <c r="U19" s="22" t="b">
        <v>0</v>
      </c>
      <c r="V19" s="23">
        <v>46357</v>
      </c>
      <c r="W19" s="23">
        <v>46357</v>
      </c>
      <c r="X19" s="65" t="s">
        <v>37</v>
      </c>
      <c r="Z19" s="4" t="str">
        <f ca="1"/>
        <v>NOT STARTED</v>
      </c>
      <c r="AE19" s="33" t="str">
        <f>G116</f>
        <v>Pengadaan - Lahan | KAK</v>
      </c>
      <c r="AF19" s="41"/>
      <c r="AG19" s="15">
        <v>16</v>
      </c>
    </row>
    <row r="20" spans="1:33" ht="15" customHeight="1" x14ac:dyDescent="0.3">
      <c r="A20" s="15">
        <v>17</v>
      </c>
      <c r="B20" s="62" t="s">
        <v>77</v>
      </c>
      <c r="C20" s="65">
        <v>1</v>
      </c>
      <c r="D20" s="65" t="s">
        <v>128</v>
      </c>
      <c r="E20" s="15" t="s">
        <v>22</v>
      </c>
      <c r="F20" s="18" t="s">
        <v>24</v>
      </c>
      <c r="G20" s="4" t="str">
        <v>Implementasi | BAST 1</v>
      </c>
      <c r="H20" s="4">
        <v>2</v>
      </c>
      <c r="I20" s="26" t="str">
        <f t="shared" ref="I20:T35" si="2">IF(AND(I$3 &gt;= $V20, I$3 &lt;= $W20), $H20, "")</f>
        <v/>
      </c>
      <c r="J20" s="27" t="str">
        <f t="shared" si="2"/>
        <v/>
      </c>
      <c r="K20" s="27" t="str">
        <f t="shared" si="2"/>
        <v/>
      </c>
      <c r="L20" s="27" t="str">
        <f t="shared" si="2"/>
        <v/>
      </c>
      <c r="M20" s="27" t="str">
        <f t="shared" si="2"/>
        <v/>
      </c>
      <c r="N20" s="27" t="str">
        <f t="shared" si="2"/>
        <v/>
      </c>
      <c r="O20" s="27" t="str">
        <f t="shared" si="2"/>
        <v/>
      </c>
      <c r="P20" s="27" t="str">
        <f t="shared" si="2"/>
        <v/>
      </c>
      <c r="Q20" s="27" t="str">
        <f t="shared" si="2"/>
        <v/>
      </c>
      <c r="R20" s="27" t="str">
        <f t="shared" si="2"/>
        <v/>
      </c>
      <c r="S20" s="27" t="str">
        <f t="shared" si="2"/>
        <v/>
      </c>
      <c r="T20" s="28">
        <f t="shared" si="2"/>
        <v>2</v>
      </c>
      <c r="U20" s="22" t="b">
        <v>0</v>
      </c>
      <c r="V20" s="23">
        <v>46357</v>
      </c>
      <c r="W20" s="23">
        <v>46357</v>
      </c>
      <c r="X20" s="65" t="s">
        <v>37</v>
      </c>
      <c r="Z20" s="4" t="str">
        <f ca="1"/>
        <v>NOT STARTED</v>
      </c>
    </row>
    <row r="21" spans="1:33" ht="15" customHeight="1" x14ac:dyDescent="0.3">
      <c r="A21" s="15">
        <v>18</v>
      </c>
      <c r="B21" s="62" t="s">
        <v>79</v>
      </c>
      <c r="C21" s="65">
        <v>1</v>
      </c>
      <c r="D21" s="65" t="s">
        <v>127</v>
      </c>
      <c r="E21" s="15" t="s">
        <v>13</v>
      </c>
      <c r="F21" s="15" t="s">
        <v>14</v>
      </c>
      <c r="G21" s="4" t="str">
        <v>Pra Pembangunan dan Pra Pengadaan | RBT</v>
      </c>
      <c r="H21" s="4">
        <v>5</v>
      </c>
      <c r="I21" s="19" t="str">
        <f t="shared" si="2"/>
        <v/>
      </c>
      <c r="J21" s="20" t="str">
        <f t="shared" si="2"/>
        <v/>
      </c>
      <c r="K21" s="20" t="str">
        <f t="shared" si="2"/>
        <v/>
      </c>
      <c r="L21" s="20" t="str">
        <f t="shared" si="2"/>
        <v/>
      </c>
      <c r="M21" s="20" t="str">
        <f t="shared" si="2"/>
        <v/>
      </c>
      <c r="N21" s="20">
        <f t="shared" si="2"/>
        <v>5</v>
      </c>
      <c r="O21" s="20" t="str">
        <f t="shared" si="2"/>
        <v/>
      </c>
      <c r="P21" s="20" t="str">
        <f t="shared" si="2"/>
        <v/>
      </c>
      <c r="Q21" s="20" t="str">
        <f t="shared" si="2"/>
        <v/>
      </c>
      <c r="R21" s="20" t="str">
        <f t="shared" si="2"/>
        <v/>
      </c>
      <c r="S21" s="20" t="str">
        <f t="shared" si="2"/>
        <v/>
      </c>
      <c r="T21" s="21" t="str">
        <f t="shared" si="2"/>
        <v/>
      </c>
      <c r="U21" s="22" t="b">
        <v>1</v>
      </c>
      <c r="V21" s="23">
        <v>46174</v>
      </c>
      <c r="W21" s="23">
        <v>46174</v>
      </c>
      <c r="X21" s="65" t="s">
        <v>37</v>
      </c>
      <c r="Y21" s="32">
        <v>46212</v>
      </c>
      <c r="Z21" s="4" t="str">
        <f ca="1"/>
        <v>ON TRACK</v>
      </c>
      <c r="AC21" s="32" t="s">
        <v>80</v>
      </c>
    </row>
    <row r="22" spans="1:33" ht="15" customHeight="1" x14ac:dyDescent="0.3">
      <c r="A22" s="15">
        <v>19</v>
      </c>
      <c r="B22" s="62" t="s">
        <v>79</v>
      </c>
      <c r="C22" s="65">
        <v>1</v>
      </c>
      <c r="D22" s="65" t="s">
        <v>127</v>
      </c>
      <c r="E22" s="15" t="s">
        <v>13</v>
      </c>
      <c r="F22" s="15" t="s">
        <v>15</v>
      </c>
      <c r="G22" s="4" t="str">
        <v>Pra Pembangunan dan Pra Pengadaan | RPP</v>
      </c>
      <c r="H22" s="4">
        <v>4</v>
      </c>
      <c r="I22" s="26" t="str">
        <f t="shared" si="2"/>
        <v/>
      </c>
      <c r="J22" s="27" t="str">
        <f t="shared" si="2"/>
        <v/>
      </c>
      <c r="K22" s="27" t="str">
        <f t="shared" si="2"/>
        <v/>
      </c>
      <c r="L22" s="27" t="str">
        <f t="shared" si="2"/>
        <v/>
      </c>
      <c r="M22" s="27" t="str">
        <f t="shared" si="2"/>
        <v/>
      </c>
      <c r="N22" s="27" t="str">
        <f t="shared" si="2"/>
        <v/>
      </c>
      <c r="O22" s="27" t="str">
        <f t="shared" si="2"/>
        <v/>
      </c>
      <c r="P22" s="27" t="str">
        <f t="shared" si="2"/>
        <v/>
      </c>
      <c r="Q22" s="27">
        <f t="shared" si="2"/>
        <v>4</v>
      </c>
      <c r="R22" s="27" t="str">
        <f t="shared" si="2"/>
        <v/>
      </c>
      <c r="S22" s="27" t="str">
        <f t="shared" si="2"/>
        <v/>
      </c>
      <c r="T22" s="28" t="str">
        <f t="shared" si="2"/>
        <v/>
      </c>
      <c r="U22" s="22" t="b">
        <v>1</v>
      </c>
      <c r="V22" s="23">
        <v>46266</v>
      </c>
      <c r="W22" s="23">
        <v>46266</v>
      </c>
      <c r="X22" s="65" t="s">
        <v>37</v>
      </c>
      <c r="Y22" s="32">
        <v>46231</v>
      </c>
      <c r="Z22" s="4" t="str">
        <f ca="1"/>
        <v>ON TRACK</v>
      </c>
    </row>
    <row r="23" spans="1:33" ht="15" customHeight="1" x14ac:dyDescent="0.3">
      <c r="A23" s="15">
        <v>20</v>
      </c>
      <c r="B23" s="62" t="s">
        <v>79</v>
      </c>
      <c r="C23" s="65">
        <v>1</v>
      </c>
      <c r="D23" s="65" t="s">
        <v>127</v>
      </c>
      <c r="E23" s="15" t="s">
        <v>13</v>
      </c>
      <c r="F23" s="15" t="s">
        <v>16</v>
      </c>
      <c r="G23" s="4" t="str">
        <v>Pra Pembangunan dan Pra Pengadaan | RBTek</v>
      </c>
      <c r="H23" s="4">
        <v>6</v>
      </c>
      <c r="I23" s="26" t="str">
        <f t="shared" si="2"/>
        <v/>
      </c>
      <c r="J23" s="27" t="str">
        <f t="shared" si="2"/>
        <v/>
      </c>
      <c r="K23" s="27" t="str">
        <f t="shared" si="2"/>
        <v/>
      </c>
      <c r="L23" s="27" t="str">
        <f t="shared" si="2"/>
        <v/>
      </c>
      <c r="M23" s="27" t="str">
        <f t="shared" si="2"/>
        <v/>
      </c>
      <c r="N23" s="27" t="str">
        <f t="shared" si="2"/>
        <v/>
      </c>
      <c r="O23" s="27" t="str">
        <f t="shared" si="2"/>
        <v/>
      </c>
      <c r="P23" s="27" t="str">
        <f t="shared" si="2"/>
        <v/>
      </c>
      <c r="Q23" s="27" t="str">
        <f t="shared" si="2"/>
        <v/>
      </c>
      <c r="R23" s="27">
        <f t="shared" si="2"/>
        <v>6</v>
      </c>
      <c r="S23" s="27" t="str">
        <f t="shared" si="2"/>
        <v/>
      </c>
      <c r="T23" s="28" t="str">
        <f t="shared" si="2"/>
        <v/>
      </c>
      <c r="U23" s="22" t="b">
        <v>0</v>
      </c>
      <c r="V23" s="23">
        <v>46296</v>
      </c>
      <c r="W23" s="23">
        <v>46296</v>
      </c>
      <c r="X23" s="65" t="s">
        <v>37</v>
      </c>
      <c r="Z23" s="4" t="str">
        <f ca="1"/>
        <v>NOT STARTED</v>
      </c>
    </row>
    <row r="24" spans="1:33" ht="15" customHeight="1" x14ac:dyDescent="0.3">
      <c r="A24" s="15">
        <v>21</v>
      </c>
      <c r="B24" s="62" t="s">
        <v>79</v>
      </c>
      <c r="C24" s="65">
        <v>1</v>
      </c>
      <c r="D24" s="65" t="s">
        <v>127</v>
      </c>
      <c r="E24" s="15" t="s">
        <v>20</v>
      </c>
      <c r="F24" s="15" t="s">
        <v>18</v>
      </c>
      <c r="G24" s="4" t="str">
        <v>Pengadaan - Kons. MK | KAK</v>
      </c>
      <c r="H24" s="4">
        <v>11</v>
      </c>
      <c r="I24" s="26" t="str">
        <f t="shared" si="2"/>
        <v/>
      </c>
      <c r="J24" s="27" t="str">
        <f t="shared" si="2"/>
        <v/>
      </c>
      <c r="K24" s="27" t="str">
        <f t="shared" si="2"/>
        <v/>
      </c>
      <c r="L24" s="27" t="str">
        <f t="shared" si="2"/>
        <v/>
      </c>
      <c r="M24" s="27">
        <f t="shared" si="2"/>
        <v>11</v>
      </c>
      <c r="N24" s="27">
        <f t="shared" si="2"/>
        <v>11</v>
      </c>
      <c r="O24" s="27">
        <f t="shared" si="2"/>
        <v>11</v>
      </c>
      <c r="P24" s="27" t="str">
        <f t="shared" si="2"/>
        <v/>
      </c>
      <c r="Q24" s="27" t="str">
        <f t="shared" si="2"/>
        <v/>
      </c>
      <c r="R24" s="27" t="str">
        <f t="shared" si="2"/>
        <v/>
      </c>
      <c r="S24" s="27" t="str">
        <f t="shared" si="2"/>
        <v/>
      </c>
      <c r="T24" s="28" t="str">
        <f t="shared" si="2"/>
        <v/>
      </c>
      <c r="U24" s="22" t="b">
        <v>1</v>
      </c>
      <c r="V24" s="23">
        <v>46143</v>
      </c>
      <c r="W24" s="23">
        <v>46204</v>
      </c>
      <c r="X24" s="65" t="s">
        <v>37</v>
      </c>
      <c r="Y24" s="32">
        <v>46122</v>
      </c>
      <c r="Z24" s="4" t="str">
        <f ca="1"/>
        <v>ON TRACK</v>
      </c>
      <c r="AB24" s="4" t="s">
        <v>81</v>
      </c>
      <c r="AC24" s="4" t="s">
        <v>82</v>
      </c>
    </row>
    <row r="25" spans="1:33" ht="15" customHeight="1" x14ac:dyDescent="0.3">
      <c r="A25" s="15">
        <v>22</v>
      </c>
      <c r="B25" s="62" t="s">
        <v>79</v>
      </c>
      <c r="C25" s="65">
        <v>1</v>
      </c>
      <c r="D25" s="65" t="s">
        <v>127</v>
      </c>
      <c r="E25" s="15" t="s">
        <v>21</v>
      </c>
      <c r="F25" s="15" t="s">
        <v>18</v>
      </c>
      <c r="G25" s="4" t="str">
        <v>Pengadaan - Kontraktor | KAK</v>
      </c>
      <c r="H25" s="4">
        <v>7</v>
      </c>
      <c r="I25" s="26" t="str">
        <f t="shared" si="2"/>
        <v/>
      </c>
      <c r="J25" s="27" t="str">
        <f t="shared" si="2"/>
        <v/>
      </c>
      <c r="K25" s="27" t="str">
        <f t="shared" si="2"/>
        <v/>
      </c>
      <c r="L25" s="27" t="str">
        <f t="shared" si="2"/>
        <v/>
      </c>
      <c r="M25" s="27" t="str">
        <f t="shared" si="2"/>
        <v/>
      </c>
      <c r="N25" s="27" t="str">
        <f t="shared" si="2"/>
        <v/>
      </c>
      <c r="O25" s="27" t="str">
        <f t="shared" si="2"/>
        <v/>
      </c>
      <c r="P25" s="27" t="str">
        <f t="shared" si="2"/>
        <v/>
      </c>
      <c r="Q25" s="27" t="str">
        <f t="shared" si="2"/>
        <v/>
      </c>
      <c r="R25" s="27">
        <f t="shared" si="2"/>
        <v>7</v>
      </c>
      <c r="S25" s="27">
        <f t="shared" si="2"/>
        <v>7</v>
      </c>
      <c r="T25" s="28">
        <f t="shared" si="2"/>
        <v>7</v>
      </c>
      <c r="U25" s="22" t="b">
        <v>0</v>
      </c>
      <c r="V25" s="23">
        <v>46296</v>
      </c>
      <c r="W25" s="23">
        <v>46357</v>
      </c>
      <c r="X25" s="65" t="s">
        <v>37</v>
      </c>
      <c r="Z25" s="4" t="str">
        <f ca="1"/>
        <v>NOT STARTED</v>
      </c>
    </row>
    <row r="26" spans="1:33" ht="15" customHeight="1" x14ac:dyDescent="0.3">
      <c r="A26" s="15">
        <v>23</v>
      </c>
      <c r="B26" s="62" t="s">
        <v>79</v>
      </c>
      <c r="C26" s="65">
        <v>1</v>
      </c>
      <c r="D26" s="65" t="s">
        <v>127</v>
      </c>
      <c r="E26" s="15" t="s">
        <v>17</v>
      </c>
      <c r="F26" s="15" t="s">
        <v>19</v>
      </c>
      <c r="G26" s="4" t="str">
        <v>Pengadaan - Kons. Perancang | SPPP</v>
      </c>
      <c r="H26" s="4">
        <v>10</v>
      </c>
      <c r="I26" s="26" t="str">
        <f t="shared" si="2"/>
        <v/>
      </c>
      <c r="J26" s="27" t="str">
        <f t="shared" si="2"/>
        <v/>
      </c>
      <c r="K26" s="27" t="str">
        <f t="shared" si="2"/>
        <v/>
      </c>
      <c r="L26" s="27">
        <f t="shared" si="2"/>
        <v>10</v>
      </c>
      <c r="M26" s="27">
        <f t="shared" si="2"/>
        <v>10</v>
      </c>
      <c r="N26" s="27">
        <f t="shared" si="2"/>
        <v>10</v>
      </c>
      <c r="O26" s="27">
        <f t="shared" si="2"/>
        <v>10</v>
      </c>
      <c r="P26" s="27">
        <f t="shared" si="2"/>
        <v>10</v>
      </c>
      <c r="Q26" s="27">
        <f t="shared" si="2"/>
        <v>10</v>
      </c>
      <c r="R26" s="27">
        <f t="shared" si="2"/>
        <v>10</v>
      </c>
      <c r="S26" s="27" t="str">
        <f t="shared" si="2"/>
        <v/>
      </c>
      <c r="T26" s="28" t="str">
        <f t="shared" si="2"/>
        <v/>
      </c>
      <c r="U26" s="22" t="b">
        <v>1</v>
      </c>
      <c r="V26" s="23">
        <v>46113</v>
      </c>
      <c r="W26" s="23">
        <v>46296</v>
      </c>
      <c r="X26" s="65" t="s">
        <v>37</v>
      </c>
      <c r="Y26" s="32">
        <v>46128</v>
      </c>
      <c r="Z26" s="4" t="str">
        <f ca="1"/>
        <v>ON TRACK</v>
      </c>
      <c r="AB26" s="4" t="s">
        <v>83</v>
      </c>
      <c r="AC26" s="4" t="s">
        <v>84</v>
      </c>
    </row>
    <row r="27" spans="1:33" ht="15" customHeight="1" x14ac:dyDescent="0.3">
      <c r="A27" s="15">
        <v>24</v>
      </c>
      <c r="B27" s="62" t="s">
        <v>79</v>
      </c>
      <c r="C27" s="65">
        <v>1</v>
      </c>
      <c r="D27" s="65" t="s">
        <v>127</v>
      </c>
      <c r="E27" s="15" t="s">
        <v>20</v>
      </c>
      <c r="F27" s="15" t="s">
        <v>19</v>
      </c>
      <c r="G27" s="4" t="str">
        <v>Pengadaan - Kons. MK | SPPP</v>
      </c>
      <c r="H27" s="4">
        <v>12</v>
      </c>
      <c r="I27" s="26" t="str">
        <f t="shared" si="2"/>
        <v/>
      </c>
      <c r="J27" s="27" t="str">
        <f t="shared" si="2"/>
        <v/>
      </c>
      <c r="K27" s="27" t="str">
        <f t="shared" si="2"/>
        <v/>
      </c>
      <c r="L27" s="27" t="str">
        <f t="shared" si="2"/>
        <v/>
      </c>
      <c r="M27" s="27" t="str">
        <f t="shared" si="2"/>
        <v/>
      </c>
      <c r="N27" s="27" t="str">
        <f t="shared" si="2"/>
        <v/>
      </c>
      <c r="O27" s="27" t="str">
        <f t="shared" si="2"/>
        <v/>
      </c>
      <c r="P27" s="27">
        <f t="shared" si="2"/>
        <v>12</v>
      </c>
      <c r="Q27" s="27" t="str">
        <f t="shared" si="2"/>
        <v/>
      </c>
      <c r="R27" s="27" t="str">
        <f t="shared" si="2"/>
        <v/>
      </c>
      <c r="S27" s="27" t="str">
        <f t="shared" si="2"/>
        <v/>
      </c>
      <c r="T27" s="28" t="str">
        <f t="shared" si="2"/>
        <v/>
      </c>
      <c r="U27" s="22" t="b">
        <v>1</v>
      </c>
      <c r="V27" s="23">
        <v>46235</v>
      </c>
      <c r="W27" s="23">
        <v>46235</v>
      </c>
      <c r="X27" s="65" t="s">
        <v>37</v>
      </c>
      <c r="Y27" s="32">
        <v>46225</v>
      </c>
      <c r="Z27" s="4" t="str">
        <f ca="1"/>
        <v>ON TRACK</v>
      </c>
    </row>
    <row r="28" spans="1:33" ht="15" customHeight="1" x14ac:dyDescent="0.3">
      <c r="A28" s="15">
        <v>25</v>
      </c>
      <c r="B28" s="62" t="s">
        <v>85</v>
      </c>
      <c r="C28" s="65">
        <v>1</v>
      </c>
      <c r="D28" s="65" t="s">
        <v>128</v>
      </c>
      <c r="E28" s="15" t="s">
        <v>13</v>
      </c>
      <c r="F28" s="15" t="s">
        <v>14</v>
      </c>
      <c r="G28" s="4" t="str">
        <v>Pra Pembangunan dan Pra Pengadaan | RBT</v>
      </c>
      <c r="H28" s="4">
        <v>5</v>
      </c>
      <c r="I28" s="19" t="str">
        <f t="shared" si="2"/>
        <v/>
      </c>
      <c r="J28" s="20" t="str">
        <f t="shared" si="2"/>
        <v/>
      </c>
      <c r="K28" s="20" t="str">
        <f t="shared" si="2"/>
        <v/>
      </c>
      <c r="L28" s="20" t="str">
        <f t="shared" si="2"/>
        <v/>
      </c>
      <c r="M28" s="20" t="str">
        <f t="shared" si="2"/>
        <v/>
      </c>
      <c r="N28" s="20" t="str">
        <f t="shared" si="2"/>
        <v/>
      </c>
      <c r="O28" s="20" t="str">
        <f t="shared" si="2"/>
        <v/>
      </c>
      <c r="P28" s="20" t="str">
        <f t="shared" si="2"/>
        <v/>
      </c>
      <c r="Q28" s="20" t="str">
        <f t="shared" si="2"/>
        <v/>
      </c>
      <c r="R28" s="20" t="str">
        <f t="shared" si="2"/>
        <v/>
      </c>
      <c r="S28" s="20" t="str">
        <f t="shared" si="2"/>
        <v/>
      </c>
      <c r="T28" s="21">
        <f t="shared" si="2"/>
        <v>5</v>
      </c>
      <c r="U28" s="22" t="b">
        <v>0</v>
      </c>
      <c r="V28" s="23">
        <v>46357</v>
      </c>
      <c r="W28" s="23">
        <v>46357</v>
      </c>
      <c r="X28" s="65" t="s">
        <v>38</v>
      </c>
      <c r="Z28" s="4" t="str">
        <f ca="1"/>
        <v>NOT STARTED</v>
      </c>
    </row>
    <row r="29" spans="1:33" ht="15" customHeight="1" x14ac:dyDescent="0.3">
      <c r="A29" s="15">
        <v>26</v>
      </c>
      <c r="B29" s="62" t="s">
        <v>85</v>
      </c>
      <c r="C29" s="65">
        <v>1</v>
      </c>
      <c r="D29" s="65" t="s">
        <v>128</v>
      </c>
      <c r="E29" s="15" t="s">
        <v>17</v>
      </c>
      <c r="F29" s="15" t="s">
        <v>18</v>
      </c>
      <c r="G29" s="4" t="str">
        <v>Pengadaan - Kons. Perancang | KAK</v>
      </c>
      <c r="H29" s="4">
        <v>9</v>
      </c>
      <c r="I29" s="26" t="str">
        <f t="shared" si="2"/>
        <v/>
      </c>
      <c r="J29" s="27" t="str">
        <f t="shared" si="2"/>
        <v/>
      </c>
      <c r="K29" s="27" t="str">
        <f t="shared" si="2"/>
        <v/>
      </c>
      <c r="L29" s="27" t="str">
        <f t="shared" si="2"/>
        <v/>
      </c>
      <c r="M29" s="27">
        <f t="shared" si="2"/>
        <v>9</v>
      </c>
      <c r="N29" s="27">
        <f t="shared" si="2"/>
        <v>9</v>
      </c>
      <c r="O29" s="27">
        <f t="shared" si="2"/>
        <v>9</v>
      </c>
      <c r="P29" s="27" t="str">
        <f t="shared" si="2"/>
        <v/>
      </c>
      <c r="Q29" s="27" t="str">
        <f t="shared" si="2"/>
        <v/>
      </c>
      <c r="R29" s="27" t="str">
        <f t="shared" si="2"/>
        <v/>
      </c>
      <c r="S29" s="27" t="str">
        <f t="shared" si="2"/>
        <v/>
      </c>
      <c r="T29" s="28" t="str">
        <f t="shared" si="2"/>
        <v/>
      </c>
      <c r="U29" s="22" t="b">
        <v>1</v>
      </c>
      <c r="V29" s="23">
        <v>46143</v>
      </c>
      <c r="W29" s="23">
        <v>46204</v>
      </c>
      <c r="X29" s="65" t="s">
        <v>38</v>
      </c>
      <c r="Y29" s="32">
        <v>46167</v>
      </c>
      <c r="Z29" s="4" t="str">
        <f ca="1"/>
        <v>ON TRACK</v>
      </c>
      <c r="AB29" s="4" t="s">
        <v>86</v>
      </c>
    </row>
    <row r="30" spans="1:33" ht="15" customHeight="1" x14ac:dyDescent="0.3">
      <c r="A30" s="15">
        <v>27</v>
      </c>
      <c r="B30" s="62" t="s">
        <v>85</v>
      </c>
      <c r="C30" s="65">
        <v>1</v>
      </c>
      <c r="D30" s="65" t="s">
        <v>128</v>
      </c>
      <c r="E30" s="15" t="s">
        <v>20</v>
      </c>
      <c r="F30" s="15" t="s">
        <v>18</v>
      </c>
      <c r="G30" s="4" t="str">
        <v>Pengadaan - Kons. MK | KAK</v>
      </c>
      <c r="H30" s="4">
        <v>11</v>
      </c>
      <c r="I30" s="26" t="str">
        <f t="shared" si="2"/>
        <v/>
      </c>
      <c r="J30" s="27" t="str">
        <f t="shared" si="2"/>
        <v/>
      </c>
      <c r="K30" s="27" t="str">
        <f t="shared" si="2"/>
        <v/>
      </c>
      <c r="L30" s="27" t="str">
        <f t="shared" si="2"/>
        <v/>
      </c>
      <c r="M30" s="27" t="str">
        <f t="shared" si="2"/>
        <v/>
      </c>
      <c r="N30" s="27" t="str">
        <f t="shared" si="2"/>
        <v/>
      </c>
      <c r="O30" s="27" t="str">
        <f t="shared" si="2"/>
        <v/>
      </c>
      <c r="P30" s="27" t="str">
        <f t="shared" si="2"/>
        <v/>
      </c>
      <c r="Q30" s="27" t="str">
        <f t="shared" si="2"/>
        <v/>
      </c>
      <c r="R30" s="27" t="str">
        <f t="shared" si="2"/>
        <v/>
      </c>
      <c r="S30" s="27">
        <f t="shared" si="2"/>
        <v>11</v>
      </c>
      <c r="T30" s="28">
        <f t="shared" si="2"/>
        <v>11</v>
      </c>
      <c r="U30" s="22" t="b">
        <v>0</v>
      </c>
      <c r="V30" s="23">
        <v>46327</v>
      </c>
      <c r="W30" s="23">
        <v>46357</v>
      </c>
      <c r="X30" s="65" t="s">
        <v>38</v>
      </c>
      <c r="Z30" s="4" t="str">
        <f ca="1"/>
        <v>NOT STARTED</v>
      </c>
    </row>
    <row r="31" spans="1:33" ht="15" customHeight="1" x14ac:dyDescent="0.3">
      <c r="A31" s="15">
        <v>28</v>
      </c>
      <c r="B31" s="62" t="s">
        <v>85</v>
      </c>
      <c r="C31" s="65">
        <v>1</v>
      </c>
      <c r="D31" s="65" t="s">
        <v>128</v>
      </c>
      <c r="E31" s="15" t="s">
        <v>17</v>
      </c>
      <c r="F31" s="15" t="s">
        <v>19</v>
      </c>
      <c r="G31" s="4" t="str">
        <v>Pengadaan - Kons. Perancang | SPPP</v>
      </c>
      <c r="H31" s="4">
        <v>10</v>
      </c>
      <c r="I31" s="26" t="str">
        <f t="shared" si="2"/>
        <v/>
      </c>
      <c r="J31" s="27" t="str">
        <f t="shared" si="2"/>
        <v/>
      </c>
      <c r="K31" s="27" t="str">
        <f t="shared" si="2"/>
        <v/>
      </c>
      <c r="L31" s="27" t="str">
        <f t="shared" si="2"/>
        <v/>
      </c>
      <c r="M31" s="27" t="str">
        <f t="shared" si="2"/>
        <v/>
      </c>
      <c r="N31" s="27" t="str">
        <f t="shared" si="2"/>
        <v/>
      </c>
      <c r="O31" s="27" t="str">
        <f t="shared" si="2"/>
        <v/>
      </c>
      <c r="P31" s="27">
        <f t="shared" si="2"/>
        <v>10</v>
      </c>
      <c r="Q31" s="27">
        <f t="shared" si="2"/>
        <v>10</v>
      </c>
      <c r="R31" s="27">
        <f t="shared" si="2"/>
        <v>10</v>
      </c>
      <c r="S31" s="27">
        <f t="shared" si="2"/>
        <v>10</v>
      </c>
      <c r="T31" s="28">
        <f t="shared" si="2"/>
        <v>10</v>
      </c>
      <c r="U31" s="22" t="b">
        <v>0</v>
      </c>
      <c r="V31" s="23">
        <v>46235</v>
      </c>
      <c r="W31" s="23">
        <v>46357</v>
      </c>
      <c r="X31" s="65" t="s">
        <v>38</v>
      </c>
      <c r="Z31" s="4" t="str">
        <f ca="1"/>
        <v>BEHIND</v>
      </c>
      <c r="AE31" s="43"/>
    </row>
    <row r="32" spans="1:33" ht="15" customHeight="1" x14ac:dyDescent="0.3">
      <c r="A32" s="15">
        <v>29</v>
      </c>
      <c r="B32" s="62" t="s">
        <v>87</v>
      </c>
      <c r="C32" s="65">
        <v>1</v>
      </c>
      <c r="D32" s="65" t="s">
        <v>128</v>
      </c>
      <c r="E32" s="15" t="s">
        <v>13</v>
      </c>
      <c r="F32" s="15" t="s">
        <v>14</v>
      </c>
      <c r="G32" s="4" t="str">
        <v>Pra Pembangunan dan Pra Pengadaan | RBT</v>
      </c>
      <c r="H32" s="4">
        <v>5</v>
      </c>
      <c r="I32" s="19" t="str">
        <f t="shared" si="2"/>
        <v/>
      </c>
      <c r="J32" s="20" t="str">
        <f t="shared" si="2"/>
        <v/>
      </c>
      <c r="K32" s="20" t="str">
        <f t="shared" si="2"/>
        <v/>
      </c>
      <c r="L32" s="20" t="str">
        <f t="shared" si="2"/>
        <v/>
      </c>
      <c r="M32" s="20" t="str">
        <f t="shared" si="2"/>
        <v/>
      </c>
      <c r="N32" s="20">
        <f t="shared" si="2"/>
        <v>5</v>
      </c>
      <c r="O32" s="20" t="str">
        <f t="shared" si="2"/>
        <v/>
      </c>
      <c r="P32" s="20" t="str">
        <f t="shared" si="2"/>
        <v/>
      </c>
      <c r="Q32" s="20" t="str">
        <f t="shared" si="2"/>
        <v/>
      </c>
      <c r="R32" s="20" t="str">
        <f t="shared" si="2"/>
        <v/>
      </c>
      <c r="S32" s="20" t="str">
        <f t="shared" si="2"/>
        <v/>
      </c>
      <c r="T32" s="21" t="str">
        <f t="shared" si="2"/>
        <v/>
      </c>
      <c r="U32" s="22" t="b">
        <v>1</v>
      </c>
      <c r="V32" s="23">
        <v>46174</v>
      </c>
      <c r="W32" s="23">
        <v>46174</v>
      </c>
      <c r="X32" s="65" t="s">
        <v>37</v>
      </c>
      <c r="Y32" s="32">
        <v>46175</v>
      </c>
      <c r="Z32" s="4" t="str">
        <f ca="1"/>
        <v>ON TRACK</v>
      </c>
    </row>
    <row r="33" spans="1:31" ht="15" customHeight="1" x14ac:dyDescent="0.3">
      <c r="A33" s="15">
        <v>30</v>
      </c>
      <c r="B33" s="62" t="s">
        <v>87</v>
      </c>
      <c r="C33" s="65">
        <v>1</v>
      </c>
      <c r="D33" s="65" t="s">
        <v>128</v>
      </c>
      <c r="E33" s="15" t="s">
        <v>13</v>
      </c>
      <c r="F33" s="15" t="s">
        <v>15</v>
      </c>
      <c r="G33" s="4" t="str">
        <v>Pra Pembangunan dan Pra Pengadaan | RPP</v>
      </c>
      <c r="H33" s="4">
        <v>4</v>
      </c>
      <c r="I33" s="26" t="str">
        <f t="shared" si="2"/>
        <v/>
      </c>
      <c r="J33" s="27" t="str">
        <f t="shared" si="2"/>
        <v/>
      </c>
      <c r="K33" s="27" t="str">
        <f t="shared" si="2"/>
        <v/>
      </c>
      <c r="L33" s="27" t="str">
        <f t="shared" si="2"/>
        <v/>
      </c>
      <c r="M33" s="27" t="str">
        <f t="shared" si="2"/>
        <v/>
      </c>
      <c r="N33" s="27" t="str">
        <f t="shared" si="2"/>
        <v/>
      </c>
      <c r="O33" s="27" t="str">
        <f t="shared" si="2"/>
        <v/>
      </c>
      <c r="P33" s="27" t="str">
        <f t="shared" si="2"/>
        <v/>
      </c>
      <c r="Q33" s="27">
        <f t="shared" si="2"/>
        <v>4</v>
      </c>
      <c r="R33" s="27" t="str">
        <f t="shared" si="2"/>
        <v/>
      </c>
      <c r="S33" s="27" t="str">
        <f t="shared" si="2"/>
        <v/>
      </c>
      <c r="T33" s="28" t="str">
        <f t="shared" si="2"/>
        <v/>
      </c>
      <c r="U33" s="22" t="b">
        <v>0</v>
      </c>
      <c r="V33" s="23">
        <v>46266</v>
      </c>
      <c r="W33" s="23">
        <v>46266</v>
      </c>
      <c r="X33" s="65" t="s">
        <v>37</v>
      </c>
      <c r="Z33" s="4" t="str">
        <f ca="1"/>
        <v>ON TRACK</v>
      </c>
      <c r="AE33" s="44"/>
    </row>
    <row r="34" spans="1:31" ht="15" customHeight="1" x14ac:dyDescent="0.3">
      <c r="A34" s="15">
        <v>31</v>
      </c>
      <c r="B34" s="62" t="s">
        <v>87</v>
      </c>
      <c r="C34" s="65">
        <v>1</v>
      </c>
      <c r="D34" s="65" t="s">
        <v>128</v>
      </c>
      <c r="E34" s="15" t="s">
        <v>13</v>
      </c>
      <c r="F34" s="15" t="s">
        <v>16</v>
      </c>
      <c r="G34" s="4" t="str">
        <v>Pra Pembangunan dan Pra Pengadaan | RBTek</v>
      </c>
      <c r="H34" s="4">
        <v>6</v>
      </c>
      <c r="I34" s="26" t="str">
        <f t="shared" si="2"/>
        <v/>
      </c>
      <c r="J34" s="27" t="str">
        <f t="shared" si="2"/>
        <v/>
      </c>
      <c r="K34" s="27" t="str">
        <f t="shared" si="2"/>
        <v/>
      </c>
      <c r="L34" s="27" t="str">
        <f t="shared" si="2"/>
        <v/>
      </c>
      <c r="M34" s="27" t="str">
        <f t="shared" si="2"/>
        <v/>
      </c>
      <c r="N34" s="27" t="str">
        <f t="shared" si="2"/>
        <v/>
      </c>
      <c r="O34" s="27" t="str">
        <f t="shared" si="2"/>
        <v/>
      </c>
      <c r="P34" s="27" t="str">
        <f t="shared" si="2"/>
        <v/>
      </c>
      <c r="Q34" s="27" t="str">
        <f t="shared" si="2"/>
        <v/>
      </c>
      <c r="R34" s="27" t="str">
        <f t="shared" si="2"/>
        <v/>
      </c>
      <c r="S34" s="27" t="str">
        <f t="shared" si="2"/>
        <v/>
      </c>
      <c r="T34" s="28">
        <f t="shared" si="2"/>
        <v>6</v>
      </c>
      <c r="U34" s="22" t="b">
        <v>0</v>
      </c>
      <c r="V34" s="23">
        <v>46357</v>
      </c>
      <c r="W34" s="23">
        <v>46357</v>
      </c>
      <c r="X34" s="65" t="s">
        <v>37</v>
      </c>
      <c r="Z34" s="4" t="str">
        <f ca="1"/>
        <v>NOT STARTED</v>
      </c>
    </row>
    <row r="35" spans="1:31" ht="15" customHeight="1" x14ac:dyDescent="0.3">
      <c r="A35" s="15">
        <v>32</v>
      </c>
      <c r="B35" s="62" t="s">
        <v>87</v>
      </c>
      <c r="C35" s="65">
        <v>1</v>
      </c>
      <c r="D35" s="65" t="s">
        <v>128</v>
      </c>
      <c r="E35" s="15" t="s">
        <v>20</v>
      </c>
      <c r="F35" s="15" t="s">
        <v>18</v>
      </c>
      <c r="G35" s="4" t="str">
        <v>Pengadaan - Kons. MK | KAK</v>
      </c>
      <c r="H35" s="4">
        <v>11</v>
      </c>
      <c r="I35" s="26" t="str">
        <f t="shared" si="2"/>
        <v/>
      </c>
      <c r="J35" s="27" t="str">
        <f t="shared" si="2"/>
        <v/>
      </c>
      <c r="K35" s="27" t="str">
        <f t="shared" si="2"/>
        <v/>
      </c>
      <c r="L35" s="27" t="str">
        <f t="shared" si="2"/>
        <v/>
      </c>
      <c r="M35" s="27" t="str">
        <f t="shared" si="2"/>
        <v/>
      </c>
      <c r="N35" s="27" t="str">
        <f t="shared" si="2"/>
        <v/>
      </c>
      <c r="O35" s="27" t="str">
        <f t="shared" si="2"/>
        <v/>
      </c>
      <c r="P35" s="27" t="str">
        <f t="shared" si="2"/>
        <v/>
      </c>
      <c r="Q35" s="27" t="str">
        <f t="shared" si="2"/>
        <v/>
      </c>
      <c r="R35" s="27">
        <f t="shared" si="2"/>
        <v>11</v>
      </c>
      <c r="S35" s="27">
        <f t="shared" si="2"/>
        <v>11</v>
      </c>
      <c r="T35" s="28" t="str">
        <f t="shared" si="2"/>
        <v/>
      </c>
      <c r="U35" s="22" t="b">
        <v>0</v>
      </c>
      <c r="V35" s="23">
        <v>46296</v>
      </c>
      <c r="W35" s="23">
        <v>46327</v>
      </c>
      <c r="X35" s="65" t="s">
        <v>37</v>
      </c>
      <c r="Z35" s="4" t="str">
        <f ca="1"/>
        <v>NOT STARTED</v>
      </c>
    </row>
    <row r="36" spans="1:31" ht="15" customHeight="1" x14ac:dyDescent="0.3">
      <c r="A36" s="15">
        <v>33</v>
      </c>
      <c r="B36" s="62" t="s">
        <v>87</v>
      </c>
      <c r="C36" s="65">
        <v>1</v>
      </c>
      <c r="D36" s="65" t="s">
        <v>128</v>
      </c>
      <c r="E36" s="15" t="s">
        <v>21</v>
      </c>
      <c r="F36" s="15" t="s">
        <v>18</v>
      </c>
      <c r="G36" s="4" t="str">
        <v>Pengadaan - Kontraktor | KAK</v>
      </c>
      <c r="H36" s="4">
        <v>7</v>
      </c>
      <c r="I36" s="26" t="str">
        <f t="shared" ref="I36:T51" si="3">IF(AND(I$3 &gt;= $V36, I$3 &lt;= $W36), $H36, "")</f>
        <v/>
      </c>
      <c r="J36" s="27" t="str">
        <f t="shared" si="3"/>
        <v/>
      </c>
      <c r="K36" s="27" t="str">
        <f t="shared" si="3"/>
        <v/>
      </c>
      <c r="L36" s="27" t="str">
        <f t="shared" si="3"/>
        <v/>
      </c>
      <c r="M36" s="27" t="str">
        <f t="shared" si="3"/>
        <v/>
      </c>
      <c r="N36" s="27" t="str">
        <f t="shared" si="3"/>
        <v/>
      </c>
      <c r="O36" s="27" t="str">
        <f t="shared" si="3"/>
        <v/>
      </c>
      <c r="P36" s="27" t="str">
        <f t="shared" si="3"/>
        <v/>
      </c>
      <c r="Q36" s="27" t="str">
        <f t="shared" si="3"/>
        <v/>
      </c>
      <c r="R36" s="27" t="str">
        <f t="shared" si="3"/>
        <v/>
      </c>
      <c r="S36" s="27" t="str">
        <f t="shared" si="3"/>
        <v/>
      </c>
      <c r="T36" s="28">
        <f t="shared" si="3"/>
        <v>7</v>
      </c>
      <c r="U36" s="22" t="b">
        <v>0</v>
      </c>
      <c r="V36" s="23">
        <v>46357</v>
      </c>
      <c r="W36" s="23">
        <v>46357</v>
      </c>
      <c r="X36" s="65" t="s">
        <v>37</v>
      </c>
      <c r="Z36" s="4" t="str">
        <f ca="1"/>
        <v>NOT STARTED</v>
      </c>
    </row>
    <row r="37" spans="1:31" ht="15" customHeight="1" x14ac:dyDescent="0.3">
      <c r="A37" s="15">
        <v>34</v>
      </c>
      <c r="B37" s="62" t="s">
        <v>87</v>
      </c>
      <c r="C37" s="65">
        <v>1</v>
      </c>
      <c r="D37" s="65" t="s">
        <v>128</v>
      </c>
      <c r="E37" s="15" t="s">
        <v>20</v>
      </c>
      <c r="F37" s="15" t="s">
        <v>19</v>
      </c>
      <c r="G37" s="4" t="str">
        <v>Pengadaan - Kons. MK | SPPP</v>
      </c>
      <c r="H37" s="4">
        <v>12</v>
      </c>
      <c r="I37" s="26" t="str">
        <f t="shared" si="3"/>
        <v/>
      </c>
      <c r="J37" s="27" t="str">
        <f t="shared" si="3"/>
        <v/>
      </c>
      <c r="K37" s="27" t="str">
        <f t="shared" si="3"/>
        <v/>
      </c>
      <c r="L37" s="27" t="str">
        <f t="shared" si="3"/>
        <v/>
      </c>
      <c r="M37" s="27" t="str">
        <f t="shared" si="3"/>
        <v/>
      </c>
      <c r="N37" s="27" t="str">
        <f t="shared" si="3"/>
        <v/>
      </c>
      <c r="O37" s="27" t="str">
        <f t="shared" si="3"/>
        <v/>
      </c>
      <c r="P37" s="27" t="str">
        <f t="shared" si="3"/>
        <v/>
      </c>
      <c r="Q37" s="27" t="str">
        <f t="shared" si="3"/>
        <v/>
      </c>
      <c r="R37" s="27" t="str">
        <f t="shared" si="3"/>
        <v/>
      </c>
      <c r="S37" s="27" t="str">
        <f t="shared" si="3"/>
        <v/>
      </c>
      <c r="T37" s="28">
        <f t="shared" si="3"/>
        <v>12</v>
      </c>
      <c r="U37" s="22" t="b">
        <v>0</v>
      </c>
      <c r="V37" s="23">
        <v>46357</v>
      </c>
      <c r="W37" s="23">
        <v>46357</v>
      </c>
      <c r="X37" s="65" t="s">
        <v>37</v>
      </c>
      <c r="Z37" s="4" t="str">
        <f ca="1"/>
        <v>NOT STARTED</v>
      </c>
    </row>
    <row r="38" spans="1:31" ht="15" customHeight="1" x14ac:dyDescent="0.3">
      <c r="A38" s="15">
        <v>35</v>
      </c>
      <c r="B38" s="16" t="s">
        <v>88</v>
      </c>
      <c r="C38" s="17">
        <v>1</v>
      </c>
      <c r="D38" s="65" t="s">
        <v>128</v>
      </c>
      <c r="E38" s="15" t="s">
        <v>22</v>
      </c>
      <c r="F38" s="18" t="s">
        <v>30</v>
      </c>
      <c r="G38" s="4" t="str">
        <v>Implementasi | Pembangunan Fisik</v>
      </c>
      <c r="H38" s="4">
        <v>1</v>
      </c>
      <c r="I38" s="19">
        <f t="shared" si="3"/>
        <v>1</v>
      </c>
      <c r="J38" s="20">
        <f t="shared" si="3"/>
        <v>1</v>
      </c>
      <c r="K38" s="20">
        <f t="shared" si="3"/>
        <v>1</v>
      </c>
      <c r="L38" s="20">
        <f t="shared" si="3"/>
        <v>1</v>
      </c>
      <c r="M38" s="20">
        <f t="shared" si="3"/>
        <v>1</v>
      </c>
      <c r="N38" s="20">
        <f t="shared" si="3"/>
        <v>1</v>
      </c>
      <c r="O38" s="20">
        <f t="shared" si="3"/>
        <v>1</v>
      </c>
      <c r="P38" s="20">
        <f t="shared" si="3"/>
        <v>1</v>
      </c>
      <c r="Q38" s="20">
        <f t="shared" si="3"/>
        <v>1</v>
      </c>
      <c r="R38" s="20">
        <f t="shared" si="3"/>
        <v>1</v>
      </c>
      <c r="S38" s="20">
        <f t="shared" si="3"/>
        <v>1</v>
      </c>
      <c r="T38" s="21">
        <f t="shared" si="3"/>
        <v>1</v>
      </c>
      <c r="U38" s="22" t="b">
        <v>1</v>
      </c>
      <c r="V38" s="23">
        <v>46023</v>
      </c>
      <c r="W38" s="23">
        <v>46357</v>
      </c>
      <c r="X38" s="17" t="s">
        <v>37</v>
      </c>
      <c r="Z38" s="4" t="str">
        <f ca="1"/>
        <v>ON TRACK</v>
      </c>
    </row>
    <row r="39" spans="1:31" ht="15" customHeight="1" x14ac:dyDescent="0.3">
      <c r="A39" s="15">
        <v>36</v>
      </c>
      <c r="B39" s="62" t="s">
        <v>89</v>
      </c>
      <c r="C39" s="65">
        <v>1</v>
      </c>
      <c r="D39" s="65" t="s">
        <v>127</v>
      </c>
      <c r="E39" s="15" t="s">
        <v>13</v>
      </c>
      <c r="F39" s="15" t="s">
        <v>15</v>
      </c>
      <c r="G39" s="4" t="str">
        <v>Pra Pembangunan dan Pra Pengadaan | RPP</v>
      </c>
      <c r="H39" s="4">
        <v>4</v>
      </c>
      <c r="I39" s="19" t="str">
        <f t="shared" si="3"/>
        <v/>
      </c>
      <c r="J39" s="20" t="str">
        <f t="shared" si="3"/>
        <v/>
      </c>
      <c r="K39" s="20" t="str">
        <f t="shared" si="3"/>
        <v/>
      </c>
      <c r="L39" s="20" t="str">
        <f t="shared" si="3"/>
        <v/>
      </c>
      <c r="M39" s="20" t="str">
        <f t="shared" si="3"/>
        <v/>
      </c>
      <c r="N39" s="20">
        <f t="shared" si="3"/>
        <v>4</v>
      </c>
      <c r="O39" s="20" t="str">
        <f t="shared" si="3"/>
        <v/>
      </c>
      <c r="P39" s="20" t="str">
        <f t="shared" si="3"/>
        <v/>
      </c>
      <c r="Q39" s="20" t="str">
        <f t="shared" si="3"/>
        <v/>
      </c>
      <c r="R39" s="20" t="str">
        <f t="shared" si="3"/>
        <v/>
      </c>
      <c r="S39" s="20" t="str">
        <f t="shared" si="3"/>
        <v/>
      </c>
      <c r="T39" s="21" t="str">
        <f t="shared" si="3"/>
        <v/>
      </c>
      <c r="U39" s="22" t="b">
        <v>1</v>
      </c>
      <c r="V39" s="23">
        <v>46174</v>
      </c>
      <c r="W39" s="23">
        <v>46174</v>
      </c>
      <c r="X39" s="65" t="s">
        <v>37</v>
      </c>
      <c r="Y39" s="32">
        <v>46255</v>
      </c>
      <c r="Z39" s="4" t="str">
        <f ca="1"/>
        <v>ON TRACK</v>
      </c>
      <c r="AC39" s="32" t="s">
        <v>90</v>
      </c>
    </row>
    <row r="40" spans="1:31" ht="15" customHeight="1" x14ac:dyDescent="0.3">
      <c r="A40" s="15">
        <v>37</v>
      </c>
      <c r="B40" s="62" t="s">
        <v>89</v>
      </c>
      <c r="C40" s="65">
        <v>1</v>
      </c>
      <c r="D40" s="65" t="s">
        <v>127</v>
      </c>
      <c r="E40" s="15" t="s">
        <v>13</v>
      </c>
      <c r="F40" s="15" t="s">
        <v>16</v>
      </c>
      <c r="G40" s="4" t="str">
        <v>Pra Pembangunan dan Pra Pengadaan | RBTek</v>
      </c>
      <c r="H40" s="4">
        <v>6</v>
      </c>
      <c r="I40" s="26" t="str">
        <f t="shared" si="3"/>
        <v/>
      </c>
      <c r="J40" s="27" t="str">
        <f t="shared" si="3"/>
        <v/>
      </c>
      <c r="K40" s="27" t="str">
        <f t="shared" si="3"/>
        <v/>
      </c>
      <c r="L40" s="27" t="str">
        <f t="shared" si="3"/>
        <v/>
      </c>
      <c r="M40" s="27" t="str">
        <f t="shared" si="3"/>
        <v/>
      </c>
      <c r="N40" s="27" t="str">
        <f t="shared" si="3"/>
        <v/>
      </c>
      <c r="O40" s="27" t="str">
        <f t="shared" si="3"/>
        <v/>
      </c>
      <c r="P40" s="27" t="str">
        <f t="shared" si="3"/>
        <v/>
      </c>
      <c r="Q40" s="27">
        <f t="shared" si="3"/>
        <v>6</v>
      </c>
      <c r="R40" s="27" t="str">
        <f t="shared" si="3"/>
        <v/>
      </c>
      <c r="S40" s="27" t="str">
        <f t="shared" si="3"/>
        <v/>
      </c>
      <c r="T40" s="28" t="str">
        <f t="shared" si="3"/>
        <v/>
      </c>
      <c r="U40" s="22" t="b">
        <v>0</v>
      </c>
      <c r="V40" s="23">
        <v>46266</v>
      </c>
      <c r="W40" s="23">
        <v>46266</v>
      </c>
      <c r="X40" s="65" t="s">
        <v>37</v>
      </c>
      <c r="Z40" s="4" t="str">
        <f ca="1"/>
        <v>ON TRACK</v>
      </c>
    </row>
    <row r="41" spans="1:31" ht="15" customHeight="1" x14ac:dyDescent="0.3">
      <c r="A41" s="15">
        <v>38</v>
      </c>
      <c r="B41" s="62" t="s">
        <v>89</v>
      </c>
      <c r="C41" s="65">
        <v>1</v>
      </c>
      <c r="D41" s="65" t="s">
        <v>127</v>
      </c>
      <c r="E41" s="15" t="s">
        <v>20</v>
      </c>
      <c r="F41" s="15" t="s">
        <v>18</v>
      </c>
      <c r="G41" s="4" t="str">
        <v>Pengadaan - Kons. MK | KAK</v>
      </c>
      <c r="H41" s="4">
        <v>11</v>
      </c>
      <c r="I41" s="26" t="str">
        <f t="shared" si="3"/>
        <v/>
      </c>
      <c r="J41" s="27">
        <f t="shared" si="3"/>
        <v>11</v>
      </c>
      <c r="K41" s="27">
        <f t="shared" si="3"/>
        <v>11</v>
      </c>
      <c r="L41" s="27">
        <f t="shared" si="3"/>
        <v>11</v>
      </c>
      <c r="M41" s="27">
        <f t="shared" si="3"/>
        <v>11</v>
      </c>
      <c r="N41" s="27" t="str">
        <f t="shared" si="3"/>
        <v/>
      </c>
      <c r="O41" s="27" t="str">
        <f t="shared" si="3"/>
        <v/>
      </c>
      <c r="P41" s="27" t="str">
        <f t="shared" si="3"/>
        <v/>
      </c>
      <c r="Q41" s="27" t="str">
        <f t="shared" si="3"/>
        <v/>
      </c>
      <c r="R41" s="27" t="str">
        <f t="shared" si="3"/>
        <v/>
      </c>
      <c r="S41" s="27" t="str">
        <f t="shared" si="3"/>
        <v/>
      </c>
      <c r="T41" s="28" t="str">
        <f t="shared" si="3"/>
        <v/>
      </c>
      <c r="U41" s="22" t="b">
        <v>1</v>
      </c>
      <c r="V41" s="23">
        <v>46054</v>
      </c>
      <c r="W41" s="23">
        <v>46143</v>
      </c>
      <c r="X41" s="65" t="s">
        <v>37</v>
      </c>
      <c r="Y41" s="32">
        <v>46094</v>
      </c>
      <c r="Z41" s="4" t="str">
        <f ca="1"/>
        <v>ON TRACK</v>
      </c>
      <c r="AC41" s="36" t="s">
        <v>91</v>
      </c>
    </row>
    <row r="42" spans="1:31" ht="15" customHeight="1" x14ac:dyDescent="0.3">
      <c r="A42" s="15">
        <v>39</v>
      </c>
      <c r="B42" s="62" t="s">
        <v>89</v>
      </c>
      <c r="C42" s="65">
        <v>1</v>
      </c>
      <c r="D42" s="65" t="s">
        <v>127</v>
      </c>
      <c r="E42" s="15" t="s">
        <v>21</v>
      </c>
      <c r="F42" s="15" t="s">
        <v>18</v>
      </c>
      <c r="G42" s="4" t="str">
        <v>Pengadaan - Kontraktor | KAK</v>
      </c>
      <c r="H42" s="4">
        <v>7</v>
      </c>
      <c r="I42" s="26" t="str">
        <f t="shared" si="3"/>
        <v/>
      </c>
      <c r="J42" s="27" t="str">
        <f t="shared" si="3"/>
        <v/>
      </c>
      <c r="K42" s="27" t="str">
        <f t="shared" si="3"/>
        <v/>
      </c>
      <c r="L42" s="27" t="str">
        <f t="shared" si="3"/>
        <v/>
      </c>
      <c r="M42" s="27" t="str">
        <f t="shared" si="3"/>
        <v/>
      </c>
      <c r="N42" s="27" t="str">
        <f t="shared" si="3"/>
        <v/>
      </c>
      <c r="O42" s="27" t="str">
        <f t="shared" si="3"/>
        <v/>
      </c>
      <c r="P42" s="27" t="str">
        <f t="shared" si="3"/>
        <v/>
      </c>
      <c r="Q42" s="27">
        <f t="shared" si="3"/>
        <v>7</v>
      </c>
      <c r="R42" s="27">
        <f t="shared" si="3"/>
        <v>7</v>
      </c>
      <c r="S42" s="27">
        <f t="shared" si="3"/>
        <v>7</v>
      </c>
      <c r="T42" s="28" t="str">
        <f t="shared" si="3"/>
        <v/>
      </c>
      <c r="U42" s="22" t="b">
        <v>0</v>
      </c>
      <c r="V42" s="23">
        <v>46266</v>
      </c>
      <c r="W42" s="23">
        <v>46327</v>
      </c>
      <c r="X42" s="65" t="s">
        <v>37</v>
      </c>
      <c r="Z42" s="4" t="str">
        <f ca="1"/>
        <v>ON TRACK</v>
      </c>
    </row>
    <row r="43" spans="1:31" ht="15" customHeight="1" x14ac:dyDescent="0.3">
      <c r="A43" s="15">
        <v>40</v>
      </c>
      <c r="B43" s="62" t="s">
        <v>89</v>
      </c>
      <c r="C43" s="65">
        <v>1</v>
      </c>
      <c r="D43" s="65" t="s">
        <v>127</v>
      </c>
      <c r="E43" s="15" t="s">
        <v>20</v>
      </c>
      <c r="F43" s="15" t="s">
        <v>19</v>
      </c>
      <c r="G43" s="4" t="str">
        <v>Pengadaan - Kons. MK | SPPP</v>
      </c>
      <c r="H43" s="4">
        <v>12</v>
      </c>
      <c r="I43" s="26" t="str">
        <f t="shared" si="3"/>
        <v/>
      </c>
      <c r="J43" s="27" t="str">
        <f t="shared" si="3"/>
        <v/>
      </c>
      <c r="K43" s="27" t="str">
        <f t="shared" si="3"/>
        <v/>
      </c>
      <c r="L43" s="27" t="str">
        <f t="shared" si="3"/>
        <v/>
      </c>
      <c r="M43" s="27" t="str">
        <f t="shared" si="3"/>
        <v/>
      </c>
      <c r="N43" s="27">
        <f t="shared" si="3"/>
        <v>12</v>
      </c>
      <c r="O43" s="27" t="str">
        <f t="shared" si="3"/>
        <v/>
      </c>
      <c r="P43" s="27" t="str">
        <f t="shared" si="3"/>
        <v/>
      </c>
      <c r="Q43" s="27" t="str">
        <f t="shared" si="3"/>
        <v/>
      </c>
      <c r="R43" s="27" t="str">
        <f t="shared" si="3"/>
        <v/>
      </c>
      <c r="S43" s="27" t="str">
        <f t="shared" si="3"/>
        <v/>
      </c>
      <c r="T43" s="28" t="str">
        <f t="shared" si="3"/>
        <v/>
      </c>
      <c r="U43" s="22" t="b">
        <v>1</v>
      </c>
      <c r="V43" s="23">
        <v>46174</v>
      </c>
      <c r="W43" s="23">
        <v>46174</v>
      </c>
      <c r="X43" s="65" t="s">
        <v>37</v>
      </c>
      <c r="Y43" s="32">
        <v>46232</v>
      </c>
      <c r="Z43" s="4" t="str">
        <f ca="1"/>
        <v>ON TRACK</v>
      </c>
    </row>
    <row r="44" spans="1:31" ht="15" customHeight="1" x14ac:dyDescent="0.3">
      <c r="A44" s="15">
        <v>41</v>
      </c>
      <c r="B44" s="62" t="s">
        <v>89</v>
      </c>
      <c r="C44" s="65">
        <v>1</v>
      </c>
      <c r="D44" s="65" t="s">
        <v>127</v>
      </c>
      <c r="E44" s="15" t="s">
        <v>21</v>
      </c>
      <c r="F44" s="15" t="s">
        <v>19</v>
      </c>
      <c r="G44" s="4" t="str">
        <v>Pengadaan - Kontraktor | SPPP</v>
      </c>
      <c r="H44" s="4">
        <v>8</v>
      </c>
      <c r="I44" s="26" t="str">
        <f t="shared" si="3"/>
        <v/>
      </c>
      <c r="J44" s="27" t="str">
        <f t="shared" si="3"/>
        <v/>
      </c>
      <c r="K44" s="27" t="str">
        <f t="shared" si="3"/>
        <v/>
      </c>
      <c r="L44" s="27" t="str">
        <f t="shared" si="3"/>
        <v/>
      </c>
      <c r="M44" s="27" t="str">
        <f t="shared" si="3"/>
        <v/>
      </c>
      <c r="N44" s="27" t="str">
        <f t="shared" si="3"/>
        <v/>
      </c>
      <c r="O44" s="27" t="str">
        <f t="shared" si="3"/>
        <v/>
      </c>
      <c r="P44" s="27" t="str">
        <f t="shared" si="3"/>
        <v/>
      </c>
      <c r="Q44" s="27" t="str">
        <f t="shared" si="3"/>
        <v/>
      </c>
      <c r="R44" s="27" t="str">
        <f t="shared" si="3"/>
        <v/>
      </c>
      <c r="S44" s="27" t="str">
        <f t="shared" si="3"/>
        <v/>
      </c>
      <c r="T44" s="28">
        <f t="shared" si="3"/>
        <v>8</v>
      </c>
      <c r="U44" s="22" t="b">
        <v>0</v>
      </c>
      <c r="V44" s="23">
        <v>46357</v>
      </c>
      <c r="W44" s="23">
        <v>46357</v>
      </c>
      <c r="X44" s="65" t="s">
        <v>37</v>
      </c>
      <c r="Z44" s="4" t="str">
        <f ca="1"/>
        <v>NOT STARTED</v>
      </c>
    </row>
    <row r="45" spans="1:31" ht="15" customHeight="1" x14ac:dyDescent="0.3">
      <c r="A45" s="15">
        <v>42</v>
      </c>
      <c r="B45" s="63" t="s">
        <v>92</v>
      </c>
      <c r="C45" s="66">
        <v>1</v>
      </c>
      <c r="D45" s="65" t="s">
        <v>127</v>
      </c>
      <c r="E45" s="15" t="s">
        <v>13</v>
      </c>
      <c r="F45" s="15" t="s">
        <v>14</v>
      </c>
      <c r="G45" s="4" t="str">
        <v>Pra Pembangunan dan Pra Pengadaan | RBT</v>
      </c>
      <c r="H45" s="4">
        <v>5</v>
      </c>
      <c r="I45" s="20" t="str">
        <f t="shared" si="3"/>
        <v/>
      </c>
      <c r="J45" s="20" t="str">
        <f t="shared" si="3"/>
        <v/>
      </c>
      <c r="K45" s="20" t="str">
        <f t="shared" si="3"/>
        <v/>
      </c>
      <c r="L45" s="20" t="str">
        <f t="shared" si="3"/>
        <v/>
      </c>
      <c r="M45" s="20" t="str">
        <f t="shared" si="3"/>
        <v/>
      </c>
      <c r="N45" s="20">
        <f t="shared" si="3"/>
        <v>5</v>
      </c>
      <c r="O45" s="20" t="str">
        <f t="shared" si="3"/>
        <v/>
      </c>
      <c r="P45" s="20" t="str">
        <f t="shared" si="3"/>
        <v/>
      </c>
      <c r="Q45" s="20" t="str">
        <f t="shared" si="3"/>
        <v/>
      </c>
      <c r="R45" s="20" t="str">
        <f t="shared" si="3"/>
        <v/>
      </c>
      <c r="S45" s="20" t="str">
        <f t="shared" si="3"/>
        <v/>
      </c>
      <c r="T45" s="21" t="str">
        <f t="shared" si="3"/>
        <v/>
      </c>
      <c r="U45" s="22" t="b">
        <v>1</v>
      </c>
      <c r="V45" s="23">
        <v>46174</v>
      </c>
      <c r="W45" s="23">
        <v>46174</v>
      </c>
      <c r="X45" s="66" t="s">
        <v>37</v>
      </c>
      <c r="Y45" s="32">
        <v>46212</v>
      </c>
      <c r="Z45" s="4" t="str">
        <f ca="1"/>
        <v>ON TRACK</v>
      </c>
    </row>
    <row r="46" spans="1:31" ht="15" customHeight="1" x14ac:dyDescent="0.3">
      <c r="A46" s="15">
        <v>43</v>
      </c>
      <c r="B46" s="63" t="s">
        <v>92</v>
      </c>
      <c r="C46" s="67">
        <v>1</v>
      </c>
      <c r="D46" s="65" t="s">
        <v>127</v>
      </c>
      <c r="E46" s="15" t="s">
        <v>13</v>
      </c>
      <c r="F46" s="15" t="s">
        <v>15</v>
      </c>
      <c r="G46" s="4" t="str">
        <v>Pra Pembangunan dan Pra Pengadaan | RPP</v>
      </c>
      <c r="H46" s="4">
        <v>4</v>
      </c>
      <c r="I46" s="26" t="str">
        <f t="shared" si="3"/>
        <v/>
      </c>
      <c r="J46" s="27" t="str">
        <f t="shared" si="3"/>
        <v/>
      </c>
      <c r="K46" s="27" t="str">
        <f t="shared" si="3"/>
        <v/>
      </c>
      <c r="L46" s="27" t="str">
        <f t="shared" si="3"/>
        <v/>
      </c>
      <c r="M46" s="27" t="str">
        <f t="shared" si="3"/>
        <v/>
      </c>
      <c r="N46" s="27" t="str">
        <f t="shared" si="3"/>
        <v/>
      </c>
      <c r="O46" s="27" t="str">
        <f t="shared" si="3"/>
        <v/>
      </c>
      <c r="P46" s="27">
        <f t="shared" si="3"/>
        <v>4</v>
      </c>
      <c r="Q46" s="27" t="str">
        <f t="shared" si="3"/>
        <v/>
      </c>
      <c r="R46" s="27" t="str">
        <f t="shared" si="3"/>
        <v/>
      </c>
      <c r="S46" s="27" t="str">
        <f t="shared" si="3"/>
        <v/>
      </c>
      <c r="T46" s="28" t="str">
        <f t="shared" si="3"/>
        <v/>
      </c>
      <c r="U46" s="22" t="b">
        <v>0</v>
      </c>
      <c r="V46" s="23">
        <v>46235</v>
      </c>
      <c r="W46" s="23">
        <v>46235</v>
      </c>
      <c r="X46" s="67" t="s">
        <v>37</v>
      </c>
      <c r="Z46" s="4" t="str">
        <f ca="1"/>
        <v>BEHIND</v>
      </c>
      <c r="AC46" s="32" t="s">
        <v>93</v>
      </c>
    </row>
    <row r="47" spans="1:31" ht="15" customHeight="1" x14ac:dyDescent="0.3">
      <c r="A47" s="15">
        <v>44</v>
      </c>
      <c r="B47" s="63" t="s">
        <v>92</v>
      </c>
      <c r="C47" s="67">
        <v>1</v>
      </c>
      <c r="D47" s="65" t="s">
        <v>127</v>
      </c>
      <c r="E47" s="15" t="s">
        <v>13</v>
      </c>
      <c r="F47" s="15" t="s">
        <v>16</v>
      </c>
      <c r="G47" s="4" t="str">
        <v>Pra Pembangunan dan Pra Pengadaan | RBTek</v>
      </c>
      <c r="H47" s="4">
        <v>6</v>
      </c>
      <c r="I47" s="27" t="str">
        <f t="shared" si="3"/>
        <v/>
      </c>
      <c r="J47" s="27" t="str">
        <f t="shared" si="3"/>
        <v/>
      </c>
      <c r="K47" s="27" t="str">
        <f t="shared" si="3"/>
        <v/>
      </c>
      <c r="L47" s="27" t="str">
        <f t="shared" si="3"/>
        <v/>
      </c>
      <c r="M47" s="27" t="str">
        <f t="shared" si="3"/>
        <v/>
      </c>
      <c r="N47" s="27" t="str">
        <f t="shared" si="3"/>
        <v/>
      </c>
      <c r="O47" s="27" t="str">
        <f t="shared" si="3"/>
        <v/>
      </c>
      <c r="P47" s="27" t="str">
        <f t="shared" si="3"/>
        <v/>
      </c>
      <c r="Q47" s="27" t="str">
        <f t="shared" si="3"/>
        <v/>
      </c>
      <c r="R47" s="27">
        <f t="shared" si="3"/>
        <v>6</v>
      </c>
      <c r="S47" s="27" t="str">
        <f t="shared" si="3"/>
        <v/>
      </c>
      <c r="T47" s="28" t="str">
        <f t="shared" si="3"/>
        <v/>
      </c>
      <c r="U47" s="22" t="b">
        <v>0</v>
      </c>
      <c r="V47" s="23">
        <v>46296</v>
      </c>
      <c r="W47" s="23">
        <v>46296</v>
      </c>
      <c r="X47" s="67" t="s">
        <v>37</v>
      </c>
      <c r="Z47" s="4" t="str">
        <f ca="1"/>
        <v>NOT STARTED</v>
      </c>
    </row>
    <row r="48" spans="1:31" ht="15" customHeight="1" x14ac:dyDescent="0.3">
      <c r="A48" s="15">
        <v>45</v>
      </c>
      <c r="B48" s="63" t="s">
        <v>92</v>
      </c>
      <c r="C48" s="67">
        <v>1</v>
      </c>
      <c r="D48" s="65" t="s">
        <v>127</v>
      </c>
      <c r="E48" s="15" t="s">
        <v>20</v>
      </c>
      <c r="F48" s="15" t="s">
        <v>18</v>
      </c>
      <c r="G48" s="4" t="str">
        <v>Pengadaan - Kons. MK | KAK</v>
      </c>
      <c r="H48" s="4">
        <v>11</v>
      </c>
      <c r="I48" s="27" t="str">
        <f t="shared" si="3"/>
        <v/>
      </c>
      <c r="J48" s="27" t="str">
        <f t="shared" si="3"/>
        <v/>
      </c>
      <c r="K48" s="27" t="str">
        <f t="shared" si="3"/>
        <v/>
      </c>
      <c r="L48" s="27">
        <f t="shared" si="3"/>
        <v>11</v>
      </c>
      <c r="M48" s="27">
        <f t="shared" si="3"/>
        <v>11</v>
      </c>
      <c r="N48" s="27">
        <f t="shared" si="3"/>
        <v>11</v>
      </c>
      <c r="O48" s="27">
        <f t="shared" si="3"/>
        <v>11</v>
      </c>
      <c r="P48" s="27" t="str">
        <f t="shared" si="3"/>
        <v/>
      </c>
      <c r="Q48" s="27" t="str">
        <f t="shared" si="3"/>
        <v/>
      </c>
      <c r="R48" s="27" t="str">
        <f t="shared" si="3"/>
        <v/>
      </c>
      <c r="S48" s="27" t="str">
        <f t="shared" si="3"/>
        <v/>
      </c>
      <c r="T48" s="28" t="str">
        <f t="shared" si="3"/>
        <v/>
      </c>
      <c r="U48" s="22" t="b">
        <v>1</v>
      </c>
      <c r="V48" s="23">
        <v>46113</v>
      </c>
      <c r="W48" s="23">
        <v>46204</v>
      </c>
      <c r="X48" s="67" t="s">
        <v>37</v>
      </c>
      <c r="Y48" s="32">
        <v>46128</v>
      </c>
      <c r="Z48" s="4" t="str">
        <f ca="1"/>
        <v>ON TRACK</v>
      </c>
      <c r="AB48" s="4" t="s">
        <v>94</v>
      </c>
    </row>
    <row r="49" spans="1:29" ht="15" customHeight="1" x14ac:dyDescent="0.3">
      <c r="A49" s="15">
        <v>46</v>
      </c>
      <c r="B49" s="63" t="s">
        <v>92</v>
      </c>
      <c r="C49" s="67">
        <v>1</v>
      </c>
      <c r="D49" s="65" t="s">
        <v>127</v>
      </c>
      <c r="E49" s="15" t="s">
        <v>21</v>
      </c>
      <c r="F49" s="15" t="s">
        <v>18</v>
      </c>
      <c r="G49" s="4" t="str">
        <v>Pengadaan - Kontraktor | KAK</v>
      </c>
      <c r="H49" s="4">
        <v>7</v>
      </c>
      <c r="I49" s="26" t="str">
        <f t="shared" si="3"/>
        <v/>
      </c>
      <c r="J49" s="27" t="str">
        <f t="shared" si="3"/>
        <v/>
      </c>
      <c r="K49" s="27" t="str">
        <f t="shared" si="3"/>
        <v/>
      </c>
      <c r="L49" s="27" t="str">
        <f t="shared" si="3"/>
        <v/>
      </c>
      <c r="M49" s="27" t="str">
        <f t="shared" si="3"/>
        <v/>
      </c>
      <c r="N49" s="27" t="str">
        <f t="shared" si="3"/>
        <v/>
      </c>
      <c r="O49" s="27" t="str">
        <f t="shared" si="3"/>
        <v/>
      </c>
      <c r="P49" s="27" t="str">
        <f t="shared" si="3"/>
        <v/>
      </c>
      <c r="Q49" s="27" t="str">
        <f t="shared" si="3"/>
        <v/>
      </c>
      <c r="R49" s="27">
        <f t="shared" si="3"/>
        <v>7</v>
      </c>
      <c r="S49" s="27">
        <f t="shared" si="3"/>
        <v>7</v>
      </c>
      <c r="T49" s="28">
        <f t="shared" si="3"/>
        <v>7</v>
      </c>
      <c r="U49" s="22" t="b">
        <v>0</v>
      </c>
      <c r="V49" s="23">
        <v>46296</v>
      </c>
      <c r="W49" s="23">
        <v>46357</v>
      </c>
      <c r="X49" s="67" t="s">
        <v>37</v>
      </c>
      <c r="Z49" s="4" t="str">
        <f ca="1"/>
        <v>NOT STARTED</v>
      </c>
    </row>
    <row r="50" spans="1:29" ht="15" customHeight="1" x14ac:dyDescent="0.3">
      <c r="A50" s="15">
        <v>47</v>
      </c>
      <c r="B50" s="63" t="s">
        <v>92</v>
      </c>
      <c r="C50" s="67">
        <v>1</v>
      </c>
      <c r="D50" s="65" t="s">
        <v>127</v>
      </c>
      <c r="E50" s="15" t="s">
        <v>17</v>
      </c>
      <c r="F50" s="15" t="s">
        <v>19</v>
      </c>
      <c r="G50" s="4" t="str">
        <v>Pengadaan - Kons. Perancang | SPPP</v>
      </c>
      <c r="H50" s="4">
        <v>10</v>
      </c>
      <c r="I50" s="26" t="str">
        <f t="shared" si="3"/>
        <v/>
      </c>
      <c r="J50" s="27" t="str">
        <f t="shared" si="3"/>
        <v/>
      </c>
      <c r="K50" s="27" t="str">
        <f t="shared" si="3"/>
        <v/>
      </c>
      <c r="L50" s="27">
        <f t="shared" si="3"/>
        <v>10</v>
      </c>
      <c r="M50" s="27">
        <f t="shared" si="3"/>
        <v>10</v>
      </c>
      <c r="N50" s="27">
        <f t="shared" si="3"/>
        <v>10</v>
      </c>
      <c r="O50" s="27">
        <f t="shared" si="3"/>
        <v>10</v>
      </c>
      <c r="P50" s="27">
        <f t="shared" si="3"/>
        <v>10</v>
      </c>
      <c r="Q50" s="27">
        <f t="shared" si="3"/>
        <v>10</v>
      </c>
      <c r="R50" s="27" t="str">
        <f t="shared" si="3"/>
        <v/>
      </c>
      <c r="S50" s="27" t="str">
        <f t="shared" si="3"/>
        <v/>
      </c>
      <c r="T50" s="28" t="str">
        <f t="shared" si="3"/>
        <v/>
      </c>
      <c r="U50" s="22" t="b">
        <v>1</v>
      </c>
      <c r="V50" s="23">
        <v>46113</v>
      </c>
      <c r="W50" s="23">
        <v>46266</v>
      </c>
      <c r="X50" s="67" t="s">
        <v>37</v>
      </c>
      <c r="Y50" s="32">
        <v>46122</v>
      </c>
      <c r="Z50" s="4" t="str">
        <f ca="1"/>
        <v>ON TRACK</v>
      </c>
      <c r="AB50" s="4" t="s">
        <v>95</v>
      </c>
      <c r="AC50" s="4" t="s">
        <v>96</v>
      </c>
    </row>
    <row r="51" spans="1:29" ht="15" customHeight="1" x14ac:dyDescent="0.3">
      <c r="A51" s="15">
        <v>48</v>
      </c>
      <c r="B51" s="63" t="s">
        <v>92</v>
      </c>
      <c r="C51" s="68">
        <v>1</v>
      </c>
      <c r="D51" s="65" t="s">
        <v>127</v>
      </c>
      <c r="E51" s="15" t="s">
        <v>20</v>
      </c>
      <c r="F51" s="15" t="s">
        <v>19</v>
      </c>
      <c r="G51" s="4" t="str">
        <v>Pengadaan - Kons. MK | SPPP</v>
      </c>
      <c r="H51" s="4">
        <v>12</v>
      </c>
      <c r="I51" s="26" t="str">
        <f t="shared" si="3"/>
        <v/>
      </c>
      <c r="J51" s="27" t="str">
        <f t="shared" si="3"/>
        <v/>
      </c>
      <c r="K51" s="27" t="str">
        <f t="shared" si="3"/>
        <v/>
      </c>
      <c r="L51" s="27" t="str">
        <f t="shared" si="3"/>
        <v/>
      </c>
      <c r="M51" s="27" t="str">
        <f t="shared" si="3"/>
        <v/>
      </c>
      <c r="N51" s="27" t="str">
        <f t="shared" si="3"/>
        <v/>
      </c>
      <c r="O51" s="27" t="str">
        <f t="shared" si="3"/>
        <v/>
      </c>
      <c r="P51" s="27">
        <f t="shared" si="3"/>
        <v>12</v>
      </c>
      <c r="Q51" s="27" t="str">
        <f t="shared" si="3"/>
        <v/>
      </c>
      <c r="R51" s="27" t="str">
        <f t="shared" si="3"/>
        <v/>
      </c>
      <c r="S51" s="27" t="str">
        <f t="shared" si="3"/>
        <v/>
      </c>
      <c r="T51" s="28" t="str">
        <f t="shared" si="3"/>
        <v/>
      </c>
      <c r="U51" s="22" t="b">
        <v>1</v>
      </c>
      <c r="V51" s="23">
        <v>46235</v>
      </c>
      <c r="W51" s="23">
        <v>46235</v>
      </c>
      <c r="X51" s="68" t="s">
        <v>37</v>
      </c>
      <c r="Y51" s="32">
        <v>46238</v>
      </c>
      <c r="Z51" s="4" t="str">
        <f ca="1"/>
        <v>ON TRACK</v>
      </c>
      <c r="AB51" s="4" t="s">
        <v>97</v>
      </c>
    </row>
    <row r="52" spans="1:29" ht="15" customHeight="1" x14ac:dyDescent="0.3">
      <c r="A52" s="15">
        <v>49</v>
      </c>
      <c r="B52" s="64" t="s">
        <v>98</v>
      </c>
      <c r="C52" s="65">
        <v>1</v>
      </c>
      <c r="D52" s="65" t="s">
        <v>129</v>
      </c>
      <c r="E52" s="15" t="s">
        <v>13</v>
      </c>
      <c r="F52" s="15" t="s">
        <v>15</v>
      </c>
      <c r="G52" s="4" t="str">
        <v>Pra Pembangunan dan Pra Pengadaan | RPP</v>
      </c>
      <c r="H52" s="4">
        <v>4</v>
      </c>
      <c r="I52" s="19" t="str">
        <f t="shared" ref="I52:T67" si="4">IF(AND(I$3 &gt;= $V52, I$3 &lt;= $W52), $H52, "")</f>
        <v/>
      </c>
      <c r="J52" s="20" t="str">
        <f t="shared" si="4"/>
        <v/>
      </c>
      <c r="K52" s="20" t="str">
        <f t="shared" si="4"/>
        <v/>
      </c>
      <c r="L52" s="20" t="str">
        <f t="shared" si="4"/>
        <v/>
      </c>
      <c r="M52" s="20" t="str">
        <f t="shared" si="4"/>
        <v/>
      </c>
      <c r="N52" s="20">
        <f t="shared" si="4"/>
        <v>4</v>
      </c>
      <c r="O52" s="20" t="str">
        <f t="shared" si="4"/>
        <v/>
      </c>
      <c r="P52" s="20" t="str">
        <f t="shared" si="4"/>
        <v/>
      </c>
      <c r="Q52" s="20" t="str">
        <f t="shared" si="4"/>
        <v/>
      </c>
      <c r="R52" s="20" t="str">
        <f t="shared" si="4"/>
        <v/>
      </c>
      <c r="S52" s="20" t="str">
        <f t="shared" si="4"/>
        <v/>
      </c>
      <c r="T52" s="21" t="str">
        <f t="shared" si="4"/>
        <v/>
      </c>
      <c r="U52" s="22" t="b">
        <v>0</v>
      </c>
      <c r="V52" s="23">
        <v>46174</v>
      </c>
      <c r="W52" s="23">
        <v>46174</v>
      </c>
      <c r="X52" s="65" t="s">
        <v>39</v>
      </c>
      <c r="Z52" s="4" t="str">
        <f ca="1"/>
        <v>BEHIND</v>
      </c>
      <c r="AC52" s="32" t="s">
        <v>93</v>
      </c>
    </row>
    <row r="53" spans="1:29" ht="15" customHeight="1" x14ac:dyDescent="0.3">
      <c r="A53" s="15">
        <v>50</v>
      </c>
      <c r="B53" s="64" t="s">
        <v>98</v>
      </c>
      <c r="C53" s="65">
        <v>1</v>
      </c>
      <c r="D53" s="65" t="s">
        <v>129</v>
      </c>
      <c r="E53" s="15" t="s">
        <v>26</v>
      </c>
      <c r="F53" s="15" t="s">
        <v>18</v>
      </c>
      <c r="G53" s="4" t="str">
        <v>Pengadaan - Lahan | KAK</v>
      </c>
      <c r="H53" s="4">
        <v>13</v>
      </c>
      <c r="I53" s="26" t="str">
        <f t="shared" si="4"/>
        <v/>
      </c>
      <c r="J53" s="27" t="str">
        <f t="shared" si="4"/>
        <v/>
      </c>
      <c r="K53" s="27" t="str">
        <f t="shared" si="4"/>
        <v/>
      </c>
      <c r="L53" s="27" t="str">
        <f t="shared" si="4"/>
        <v/>
      </c>
      <c r="M53" s="27" t="str">
        <f t="shared" si="4"/>
        <v/>
      </c>
      <c r="N53" s="27" t="str">
        <f t="shared" si="4"/>
        <v/>
      </c>
      <c r="O53" s="27" t="str">
        <f t="shared" si="4"/>
        <v/>
      </c>
      <c r="P53" s="27">
        <f t="shared" si="4"/>
        <v>13</v>
      </c>
      <c r="Q53" s="27" t="str">
        <f t="shared" si="4"/>
        <v/>
      </c>
      <c r="R53" s="27" t="str">
        <f t="shared" si="4"/>
        <v/>
      </c>
      <c r="S53" s="27" t="str">
        <f t="shared" si="4"/>
        <v/>
      </c>
      <c r="T53" s="28" t="str">
        <f t="shared" si="4"/>
        <v/>
      </c>
      <c r="U53" s="22" t="b">
        <v>0</v>
      </c>
      <c r="V53" s="23">
        <v>46235</v>
      </c>
      <c r="W53" s="23">
        <v>46235</v>
      </c>
      <c r="X53" s="65" t="s">
        <v>39</v>
      </c>
      <c r="Z53" s="4" t="str">
        <f ca="1"/>
        <v>BEHIND</v>
      </c>
    </row>
    <row r="54" spans="1:29" ht="15" customHeight="1" x14ac:dyDescent="0.3">
      <c r="A54" s="15">
        <v>51</v>
      </c>
      <c r="B54" s="64" t="s">
        <v>98</v>
      </c>
      <c r="C54" s="65">
        <v>1</v>
      </c>
      <c r="D54" s="65" t="s">
        <v>129</v>
      </c>
      <c r="E54" s="15" t="s">
        <v>26</v>
      </c>
      <c r="F54" s="15" t="s">
        <v>27</v>
      </c>
      <c r="G54" s="4" t="str">
        <v>Pengadaan - Lahan | AJB</v>
      </c>
      <c r="H54" s="4">
        <v>14</v>
      </c>
      <c r="I54" s="26" t="str">
        <f t="shared" si="4"/>
        <v/>
      </c>
      <c r="J54" s="27" t="str">
        <f t="shared" si="4"/>
        <v/>
      </c>
      <c r="K54" s="27" t="str">
        <f t="shared" si="4"/>
        <v/>
      </c>
      <c r="L54" s="27" t="str">
        <f t="shared" si="4"/>
        <v/>
      </c>
      <c r="M54" s="27" t="str">
        <f t="shared" si="4"/>
        <v/>
      </c>
      <c r="N54" s="27" t="str">
        <f t="shared" si="4"/>
        <v/>
      </c>
      <c r="O54" s="27" t="str">
        <f t="shared" si="4"/>
        <v/>
      </c>
      <c r="P54" s="27" t="str">
        <f t="shared" si="4"/>
        <v/>
      </c>
      <c r="Q54" s="27">
        <f t="shared" si="4"/>
        <v>14</v>
      </c>
      <c r="R54" s="27" t="str">
        <f t="shared" si="4"/>
        <v/>
      </c>
      <c r="S54" s="27" t="str">
        <f t="shared" si="4"/>
        <v/>
      </c>
      <c r="T54" s="28" t="str">
        <f t="shared" si="4"/>
        <v/>
      </c>
      <c r="U54" s="22" t="b">
        <v>0</v>
      </c>
      <c r="V54" s="23">
        <v>46266</v>
      </c>
      <c r="W54" s="23">
        <v>46266</v>
      </c>
      <c r="X54" s="65" t="s">
        <v>39</v>
      </c>
      <c r="Z54" s="4" t="str">
        <f ca="1"/>
        <v>ON TRACK</v>
      </c>
    </row>
    <row r="55" spans="1:29" ht="15" customHeight="1" x14ac:dyDescent="0.3">
      <c r="A55" s="15">
        <v>52</v>
      </c>
      <c r="B55" s="62" t="s">
        <v>99</v>
      </c>
      <c r="C55" s="65">
        <v>1</v>
      </c>
      <c r="D55" s="65" t="s">
        <v>129</v>
      </c>
      <c r="E55" s="15" t="s">
        <v>13</v>
      </c>
      <c r="F55" s="15" t="s">
        <v>15</v>
      </c>
      <c r="G55" s="4" t="str">
        <v>Pra Pembangunan dan Pra Pengadaan | RPP</v>
      </c>
      <c r="H55" s="4">
        <v>4</v>
      </c>
      <c r="I55" s="19" t="str">
        <f t="shared" si="4"/>
        <v/>
      </c>
      <c r="J55" s="20" t="str">
        <f t="shared" si="4"/>
        <v/>
      </c>
      <c r="K55" s="20" t="str">
        <f t="shared" si="4"/>
        <v/>
      </c>
      <c r="L55" s="20" t="str">
        <f t="shared" si="4"/>
        <v/>
      </c>
      <c r="M55" s="20" t="str">
        <f t="shared" si="4"/>
        <v/>
      </c>
      <c r="N55" s="20">
        <f t="shared" si="4"/>
        <v>4</v>
      </c>
      <c r="O55" s="20" t="str">
        <f t="shared" si="4"/>
        <v/>
      </c>
      <c r="P55" s="20" t="str">
        <f t="shared" si="4"/>
        <v/>
      </c>
      <c r="Q55" s="20" t="str">
        <f t="shared" si="4"/>
        <v/>
      </c>
      <c r="R55" s="20" t="str">
        <f t="shared" si="4"/>
        <v/>
      </c>
      <c r="S55" s="20" t="str">
        <f t="shared" si="4"/>
        <v/>
      </c>
      <c r="T55" s="21" t="str">
        <f t="shared" si="4"/>
        <v/>
      </c>
      <c r="U55" s="22" t="b">
        <v>0</v>
      </c>
      <c r="V55" s="23">
        <v>46174</v>
      </c>
      <c r="W55" s="23">
        <v>46174</v>
      </c>
      <c r="X55" s="65" t="s">
        <v>39</v>
      </c>
      <c r="Z55" s="4" t="str">
        <f ca="1"/>
        <v>BEHIND</v>
      </c>
    </row>
    <row r="56" spans="1:29" ht="15" customHeight="1" x14ac:dyDescent="0.3">
      <c r="A56" s="15">
        <v>53</v>
      </c>
      <c r="B56" s="62" t="s">
        <v>99</v>
      </c>
      <c r="C56" s="65">
        <v>1</v>
      </c>
      <c r="D56" s="65" t="s">
        <v>129</v>
      </c>
      <c r="E56" s="15" t="s">
        <v>26</v>
      </c>
      <c r="F56" s="15" t="s">
        <v>18</v>
      </c>
      <c r="G56" s="4" t="str">
        <v>Pengadaan - Lahan | KAK</v>
      </c>
      <c r="H56" s="4">
        <v>13</v>
      </c>
      <c r="I56" s="26" t="str">
        <f t="shared" si="4"/>
        <v/>
      </c>
      <c r="J56" s="27" t="str">
        <f t="shared" si="4"/>
        <v/>
      </c>
      <c r="K56" s="27" t="str">
        <f t="shared" si="4"/>
        <v/>
      </c>
      <c r="L56" s="27" t="str">
        <f t="shared" si="4"/>
        <v/>
      </c>
      <c r="M56" s="27" t="str">
        <f t="shared" si="4"/>
        <v/>
      </c>
      <c r="N56" s="27" t="str">
        <f t="shared" si="4"/>
        <v/>
      </c>
      <c r="O56" s="27" t="str">
        <f t="shared" si="4"/>
        <v/>
      </c>
      <c r="P56" s="27">
        <f t="shared" si="4"/>
        <v>13</v>
      </c>
      <c r="Q56" s="27" t="str">
        <f t="shared" si="4"/>
        <v/>
      </c>
      <c r="R56" s="27" t="str">
        <f t="shared" si="4"/>
        <v/>
      </c>
      <c r="S56" s="27" t="str">
        <f t="shared" si="4"/>
        <v/>
      </c>
      <c r="T56" s="28" t="str">
        <f t="shared" si="4"/>
        <v/>
      </c>
      <c r="U56" s="22" t="b">
        <v>0</v>
      </c>
      <c r="V56" s="23">
        <v>46235</v>
      </c>
      <c r="W56" s="23">
        <v>46235</v>
      </c>
      <c r="X56" s="65" t="s">
        <v>39</v>
      </c>
      <c r="Z56" s="4" t="str">
        <f ca="1"/>
        <v>BEHIND</v>
      </c>
    </row>
    <row r="57" spans="1:29" ht="15" customHeight="1" x14ac:dyDescent="0.3">
      <c r="A57" s="15">
        <v>54</v>
      </c>
      <c r="B57" s="62" t="s">
        <v>99</v>
      </c>
      <c r="C57" s="65">
        <v>1</v>
      </c>
      <c r="D57" s="65" t="s">
        <v>129</v>
      </c>
      <c r="E57" s="15" t="s">
        <v>26</v>
      </c>
      <c r="F57" s="15" t="s">
        <v>27</v>
      </c>
      <c r="G57" s="4" t="str">
        <v>Pengadaan - Lahan | AJB</v>
      </c>
      <c r="H57" s="4">
        <v>14</v>
      </c>
      <c r="I57" s="26" t="str">
        <f t="shared" si="4"/>
        <v/>
      </c>
      <c r="J57" s="27" t="str">
        <f t="shared" si="4"/>
        <v/>
      </c>
      <c r="K57" s="27" t="str">
        <f t="shared" si="4"/>
        <v/>
      </c>
      <c r="L57" s="27" t="str">
        <f t="shared" si="4"/>
        <v/>
      </c>
      <c r="M57" s="27" t="str">
        <f t="shared" si="4"/>
        <v/>
      </c>
      <c r="N57" s="27" t="str">
        <f t="shared" si="4"/>
        <v/>
      </c>
      <c r="O57" s="27" t="str">
        <f t="shared" si="4"/>
        <v/>
      </c>
      <c r="P57" s="27" t="str">
        <f t="shared" si="4"/>
        <v/>
      </c>
      <c r="Q57" s="27">
        <f t="shared" si="4"/>
        <v>14</v>
      </c>
      <c r="R57" s="27" t="str">
        <f t="shared" si="4"/>
        <v/>
      </c>
      <c r="S57" s="27" t="str">
        <f t="shared" si="4"/>
        <v/>
      </c>
      <c r="T57" s="28" t="str">
        <f t="shared" si="4"/>
        <v/>
      </c>
      <c r="U57" s="22" t="b">
        <v>0</v>
      </c>
      <c r="V57" s="23">
        <v>46266</v>
      </c>
      <c r="W57" s="23">
        <v>46266</v>
      </c>
      <c r="X57" s="65" t="s">
        <v>39</v>
      </c>
      <c r="Z57" s="4" t="str">
        <f ca="1"/>
        <v>ON TRACK</v>
      </c>
    </row>
    <row r="58" spans="1:29" ht="15" customHeight="1" x14ac:dyDescent="0.3">
      <c r="A58" s="15">
        <v>55</v>
      </c>
      <c r="B58" s="62" t="s">
        <v>100</v>
      </c>
      <c r="C58" s="65">
        <v>2</v>
      </c>
      <c r="D58" s="65" t="s">
        <v>129</v>
      </c>
      <c r="E58" s="15" t="s">
        <v>13</v>
      </c>
      <c r="F58" s="15" t="s">
        <v>15</v>
      </c>
      <c r="G58" s="4" t="str">
        <v>Pra Pembangunan dan Pra Pengadaan | RPP</v>
      </c>
      <c r="H58" s="4">
        <v>4</v>
      </c>
      <c r="I58" s="19" t="str">
        <f>IF(AND(I$3 &gt;= $V58, I$3 &lt;= $W58), $H58, "")</f>
        <v/>
      </c>
      <c r="J58" s="20" t="str">
        <f>IF(AND(J$3 &gt;= $V58, J$3 &lt;= $W58), $H58, "")</f>
        <v/>
      </c>
      <c r="K58" s="20" t="str">
        <f>IF(AND(K$3 &gt;= $V58, K$3 &lt;= $W58), $H58, "")</f>
        <v/>
      </c>
      <c r="L58" s="20" t="str">
        <f t="shared" si="4"/>
        <v/>
      </c>
      <c r="M58" s="20" t="str">
        <f t="shared" si="4"/>
        <v/>
      </c>
      <c r="N58" s="20" t="str">
        <f t="shared" si="4"/>
        <v/>
      </c>
      <c r="O58" s="20" t="str">
        <f t="shared" si="4"/>
        <v/>
      </c>
      <c r="P58" s="20" t="str">
        <f t="shared" si="4"/>
        <v/>
      </c>
      <c r="Q58" s="20" t="str">
        <f t="shared" si="4"/>
        <v/>
      </c>
      <c r="R58" s="20" t="str">
        <f t="shared" si="4"/>
        <v/>
      </c>
      <c r="S58" s="20" t="str">
        <f t="shared" si="4"/>
        <v/>
      </c>
      <c r="T58" s="20" t="str">
        <f t="shared" si="4"/>
        <v/>
      </c>
      <c r="U58" s="45" t="b">
        <v>0</v>
      </c>
      <c r="V58" s="23"/>
      <c r="W58" s="23"/>
      <c r="X58" s="65" t="s">
        <v>40</v>
      </c>
      <c r="Z58" s="4" t="str">
        <f ca="1"/>
        <v/>
      </c>
    </row>
    <row r="59" spans="1:29" ht="15" customHeight="1" x14ac:dyDescent="0.3">
      <c r="A59" s="15">
        <v>56</v>
      </c>
      <c r="B59" s="62" t="s">
        <v>100</v>
      </c>
      <c r="C59" s="65">
        <v>2</v>
      </c>
      <c r="D59" s="65" t="s">
        <v>129</v>
      </c>
      <c r="E59" s="15" t="s">
        <v>26</v>
      </c>
      <c r="F59" s="15" t="s">
        <v>18</v>
      </c>
      <c r="G59" s="4" t="str">
        <v>Pengadaan - Lahan | KAK</v>
      </c>
      <c r="H59" s="4">
        <v>13</v>
      </c>
      <c r="I59" s="26" t="str">
        <f t="shared" si="4"/>
        <v/>
      </c>
      <c r="J59" s="27" t="str">
        <f t="shared" si="4"/>
        <v/>
      </c>
      <c r="K59" s="27" t="str">
        <f t="shared" si="4"/>
        <v/>
      </c>
      <c r="L59" s="27" t="str">
        <f t="shared" si="4"/>
        <v/>
      </c>
      <c r="M59" s="27" t="str">
        <f t="shared" si="4"/>
        <v/>
      </c>
      <c r="N59" s="27" t="str">
        <f t="shared" si="4"/>
        <v/>
      </c>
      <c r="O59" s="27" t="str">
        <f t="shared" si="4"/>
        <v/>
      </c>
      <c r="P59" s="27" t="str">
        <f t="shared" si="4"/>
        <v/>
      </c>
      <c r="Q59" s="27" t="str">
        <f t="shared" si="4"/>
        <v/>
      </c>
      <c r="R59" s="27">
        <f t="shared" si="4"/>
        <v>13</v>
      </c>
      <c r="S59" s="27">
        <f t="shared" si="4"/>
        <v>13</v>
      </c>
      <c r="T59" s="27" t="str">
        <f t="shared" si="4"/>
        <v/>
      </c>
      <c r="U59" s="45" t="b">
        <v>0</v>
      </c>
      <c r="V59" s="23">
        <v>46296</v>
      </c>
      <c r="W59" s="23">
        <v>46327</v>
      </c>
      <c r="X59" s="65" t="s">
        <v>40</v>
      </c>
      <c r="Z59" s="4" t="str">
        <f ca="1"/>
        <v>NOT STARTED</v>
      </c>
    </row>
    <row r="60" spans="1:29" ht="15" customHeight="1" x14ac:dyDescent="0.3">
      <c r="A60" s="15">
        <v>57</v>
      </c>
      <c r="B60" s="62" t="s">
        <v>100</v>
      </c>
      <c r="C60" s="65">
        <v>2</v>
      </c>
      <c r="D60" s="65" t="s">
        <v>129</v>
      </c>
      <c r="E60" s="15" t="s">
        <v>26</v>
      </c>
      <c r="F60" s="15" t="s">
        <v>27</v>
      </c>
      <c r="G60" s="4" t="str">
        <v>Pengadaan - Lahan | AJB</v>
      </c>
      <c r="H60" s="4">
        <v>14</v>
      </c>
      <c r="I60" s="26" t="str">
        <f t="shared" si="4"/>
        <v/>
      </c>
      <c r="J60" s="27" t="str">
        <f t="shared" si="4"/>
        <v/>
      </c>
      <c r="K60" s="27" t="str">
        <f t="shared" si="4"/>
        <v/>
      </c>
      <c r="L60" s="27" t="str">
        <f t="shared" si="4"/>
        <v/>
      </c>
      <c r="M60" s="27" t="str">
        <f t="shared" si="4"/>
        <v/>
      </c>
      <c r="N60" s="27" t="str">
        <f t="shared" si="4"/>
        <v/>
      </c>
      <c r="O60" s="27" t="str">
        <f t="shared" si="4"/>
        <v/>
      </c>
      <c r="P60" s="27" t="str">
        <f t="shared" si="4"/>
        <v/>
      </c>
      <c r="Q60" s="27" t="str">
        <f t="shared" si="4"/>
        <v/>
      </c>
      <c r="R60" s="27" t="str">
        <f t="shared" si="4"/>
        <v/>
      </c>
      <c r="S60" s="27" t="str">
        <f t="shared" si="4"/>
        <v/>
      </c>
      <c r="T60" s="27">
        <f t="shared" si="4"/>
        <v>14</v>
      </c>
      <c r="U60" s="45" t="b">
        <v>0</v>
      </c>
      <c r="V60" s="23">
        <v>46357</v>
      </c>
      <c r="W60" s="23">
        <v>46357</v>
      </c>
      <c r="X60" s="65" t="s">
        <v>40</v>
      </c>
      <c r="Z60" s="4" t="str">
        <f ca="1"/>
        <v>NOT STARTED</v>
      </c>
    </row>
    <row r="61" spans="1:29" ht="15" customHeight="1" x14ac:dyDescent="0.3">
      <c r="A61" s="15">
        <v>58</v>
      </c>
      <c r="B61" s="62" t="s">
        <v>101</v>
      </c>
      <c r="C61" s="65">
        <v>2</v>
      </c>
      <c r="D61" s="65" t="s">
        <v>129</v>
      </c>
      <c r="E61" s="15" t="s">
        <v>13</v>
      </c>
      <c r="F61" s="15" t="s">
        <v>15</v>
      </c>
      <c r="G61" s="4" t="str">
        <v>Pra Pembangunan dan Pra Pengadaan | RPP</v>
      </c>
      <c r="H61" s="4">
        <v>4</v>
      </c>
      <c r="I61" s="19" t="str">
        <f>IF(AND(I$3 &gt;= $V61, I$3 &lt;= $W61), $H61, "")</f>
        <v/>
      </c>
      <c r="J61" s="20">
        <f>IF(AND(J$3 &gt;= $V61, J$3 &lt;= $W61), $H61, "")</f>
        <v>4</v>
      </c>
      <c r="K61" s="20" t="str">
        <f>IF(AND(K$3 &gt;= $V61, K$3 &lt;= $W61), $H61, "")</f>
        <v/>
      </c>
      <c r="L61" s="20" t="str">
        <f t="shared" si="4"/>
        <v/>
      </c>
      <c r="M61" s="20" t="str">
        <f t="shared" si="4"/>
        <v/>
      </c>
      <c r="N61" s="20" t="str">
        <f t="shared" si="4"/>
        <v/>
      </c>
      <c r="O61" s="20" t="str">
        <f t="shared" si="4"/>
        <v/>
      </c>
      <c r="P61" s="20" t="str">
        <f t="shared" si="4"/>
        <v/>
      </c>
      <c r="Q61" s="20" t="str">
        <f t="shared" si="4"/>
        <v/>
      </c>
      <c r="R61" s="20" t="str">
        <f t="shared" si="4"/>
        <v/>
      </c>
      <c r="S61" s="20" t="str">
        <f t="shared" si="4"/>
        <v/>
      </c>
      <c r="T61" s="20" t="str">
        <f t="shared" si="4"/>
        <v/>
      </c>
      <c r="U61" s="45" t="b">
        <v>1</v>
      </c>
      <c r="V61" s="23">
        <v>46054</v>
      </c>
      <c r="W61" s="23">
        <v>46054</v>
      </c>
      <c r="X61" s="65" t="s">
        <v>40</v>
      </c>
      <c r="Z61" s="4" t="str">
        <f ca="1"/>
        <v>ON TRACK</v>
      </c>
    </row>
    <row r="62" spans="1:29" ht="15" customHeight="1" x14ac:dyDescent="0.3">
      <c r="A62" s="15">
        <v>59</v>
      </c>
      <c r="B62" s="62" t="s">
        <v>101</v>
      </c>
      <c r="C62" s="65">
        <v>2</v>
      </c>
      <c r="D62" s="65" t="s">
        <v>129</v>
      </c>
      <c r="E62" s="15" t="s">
        <v>26</v>
      </c>
      <c r="F62" s="15" t="s">
        <v>18</v>
      </c>
      <c r="G62" s="4" t="str">
        <v>Pengadaan - Lahan | KAK</v>
      </c>
      <c r="H62" s="4">
        <v>13</v>
      </c>
      <c r="I62" s="26" t="str">
        <f t="shared" si="4"/>
        <v/>
      </c>
      <c r="J62" s="27" t="str">
        <f t="shared" si="4"/>
        <v/>
      </c>
      <c r="K62" s="27" t="str">
        <f t="shared" si="4"/>
        <v/>
      </c>
      <c r="L62" s="27" t="str">
        <f t="shared" si="4"/>
        <v/>
      </c>
      <c r="M62" s="27" t="str">
        <f t="shared" si="4"/>
        <v/>
      </c>
      <c r="N62" s="27" t="str">
        <f t="shared" si="4"/>
        <v/>
      </c>
      <c r="O62" s="27" t="str">
        <f t="shared" si="4"/>
        <v/>
      </c>
      <c r="P62" s="27" t="str">
        <f t="shared" si="4"/>
        <v/>
      </c>
      <c r="Q62" s="27" t="str">
        <f t="shared" si="4"/>
        <v/>
      </c>
      <c r="R62" s="27">
        <f t="shared" si="4"/>
        <v>13</v>
      </c>
      <c r="S62" s="27">
        <f t="shared" si="4"/>
        <v>13</v>
      </c>
      <c r="T62" s="27" t="str">
        <f t="shared" si="4"/>
        <v/>
      </c>
      <c r="U62" s="45" t="b">
        <v>1</v>
      </c>
      <c r="V62" s="23">
        <v>46296</v>
      </c>
      <c r="W62" s="23">
        <v>46327</v>
      </c>
      <c r="X62" s="65" t="s">
        <v>40</v>
      </c>
      <c r="Y62" s="32">
        <v>46091</v>
      </c>
      <c r="Z62" s="4" t="str">
        <f ca="1"/>
        <v>AHEAD</v>
      </c>
    </row>
    <row r="63" spans="1:29" ht="15" customHeight="1" x14ac:dyDescent="0.3">
      <c r="A63" s="15">
        <v>60</v>
      </c>
      <c r="B63" s="62" t="s">
        <v>101</v>
      </c>
      <c r="C63" s="65">
        <v>2</v>
      </c>
      <c r="D63" s="65" t="s">
        <v>129</v>
      </c>
      <c r="E63" s="15" t="s">
        <v>26</v>
      </c>
      <c r="F63" s="15" t="s">
        <v>27</v>
      </c>
      <c r="G63" s="4" t="str">
        <v>Pengadaan - Lahan | AJB</v>
      </c>
      <c r="H63" s="4">
        <v>14</v>
      </c>
      <c r="I63" s="26" t="str">
        <f t="shared" si="4"/>
        <v/>
      </c>
      <c r="J63" s="27" t="str">
        <f t="shared" si="4"/>
        <v/>
      </c>
      <c r="K63" s="27" t="str">
        <f t="shared" si="4"/>
        <v/>
      </c>
      <c r="L63" s="27" t="str">
        <f t="shared" si="4"/>
        <v/>
      </c>
      <c r="M63" s="27" t="str">
        <f t="shared" si="4"/>
        <v/>
      </c>
      <c r="N63" s="27" t="str">
        <f t="shared" si="4"/>
        <v/>
      </c>
      <c r="O63" s="27" t="str">
        <f t="shared" si="4"/>
        <v/>
      </c>
      <c r="P63" s="27" t="str">
        <f t="shared" si="4"/>
        <v/>
      </c>
      <c r="Q63" s="27" t="str">
        <f t="shared" si="4"/>
        <v/>
      </c>
      <c r="R63" s="27" t="str">
        <f t="shared" si="4"/>
        <v/>
      </c>
      <c r="S63" s="27" t="str">
        <f t="shared" si="4"/>
        <v/>
      </c>
      <c r="T63" s="27">
        <f t="shared" si="4"/>
        <v>14</v>
      </c>
      <c r="U63" s="45" t="b">
        <v>1</v>
      </c>
      <c r="V63" s="23">
        <v>46357</v>
      </c>
      <c r="W63" s="23">
        <v>46357</v>
      </c>
      <c r="X63" s="65" t="s">
        <v>40</v>
      </c>
      <c r="Z63" s="4" t="str">
        <f ca="1"/>
        <v>AHEAD</v>
      </c>
    </row>
    <row r="64" spans="1:29" ht="15" customHeight="1" x14ac:dyDescent="0.3">
      <c r="A64" s="15">
        <v>61</v>
      </c>
      <c r="B64" s="62" t="s">
        <v>102</v>
      </c>
      <c r="C64" s="65">
        <v>1</v>
      </c>
      <c r="D64" s="65" t="s">
        <v>129</v>
      </c>
      <c r="E64" s="15" t="s">
        <v>13</v>
      </c>
      <c r="F64" s="15" t="s">
        <v>15</v>
      </c>
      <c r="G64" s="4" t="str">
        <v>Pra Pembangunan dan Pra Pengadaan | RPP</v>
      </c>
      <c r="H64" s="4">
        <v>4</v>
      </c>
      <c r="I64" s="19" t="str">
        <f t="shared" si="4"/>
        <v/>
      </c>
      <c r="J64" s="20" t="str">
        <f t="shared" si="4"/>
        <v/>
      </c>
      <c r="K64" s="20" t="str">
        <f t="shared" si="4"/>
        <v/>
      </c>
      <c r="L64" s="20" t="str">
        <f t="shared" si="4"/>
        <v/>
      </c>
      <c r="M64" s="20" t="str">
        <f t="shared" si="4"/>
        <v/>
      </c>
      <c r="N64" s="20" t="str">
        <f t="shared" si="4"/>
        <v/>
      </c>
      <c r="O64" s="20" t="str">
        <f t="shared" si="4"/>
        <v/>
      </c>
      <c r="P64" s="20" t="str">
        <f t="shared" si="4"/>
        <v/>
      </c>
      <c r="Q64" s="20" t="str">
        <f t="shared" si="4"/>
        <v/>
      </c>
      <c r="R64" s="20" t="str">
        <f t="shared" si="4"/>
        <v/>
      </c>
      <c r="S64" s="20" t="str">
        <f t="shared" si="4"/>
        <v/>
      </c>
      <c r="T64" s="21" t="str">
        <f t="shared" si="4"/>
        <v/>
      </c>
      <c r="U64" s="22" t="b">
        <v>0</v>
      </c>
      <c r="V64" s="23"/>
      <c r="W64" s="23"/>
      <c r="X64" s="65" t="s">
        <v>40</v>
      </c>
      <c r="Z64" s="4" t="str">
        <f ca="1"/>
        <v/>
      </c>
    </row>
    <row r="65" spans="1:29" ht="15" customHeight="1" x14ac:dyDescent="0.3">
      <c r="A65" s="15">
        <v>62</v>
      </c>
      <c r="B65" s="62" t="s">
        <v>102</v>
      </c>
      <c r="C65" s="65">
        <v>1</v>
      </c>
      <c r="D65" s="65" t="s">
        <v>129</v>
      </c>
      <c r="E65" s="15" t="s">
        <v>26</v>
      </c>
      <c r="F65" s="15" t="s">
        <v>18</v>
      </c>
      <c r="G65" s="4" t="str">
        <v>Pengadaan - Lahan | KAK</v>
      </c>
      <c r="H65" s="4">
        <v>13</v>
      </c>
      <c r="I65" s="26" t="str">
        <f t="shared" si="4"/>
        <v/>
      </c>
      <c r="J65" s="27" t="str">
        <f t="shared" si="4"/>
        <v/>
      </c>
      <c r="K65" s="27" t="str">
        <f t="shared" si="4"/>
        <v/>
      </c>
      <c r="L65" s="27" t="str">
        <f t="shared" si="4"/>
        <v/>
      </c>
      <c r="M65" s="27" t="str">
        <f t="shared" si="4"/>
        <v/>
      </c>
      <c r="N65" s="27" t="str">
        <f t="shared" si="4"/>
        <v/>
      </c>
      <c r="O65" s="27" t="str">
        <f t="shared" si="4"/>
        <v/>
      </c>
      <c r="P65" s="27" t="str">
        <f t="shared" si="4"/>
        <v/>
      </c>
      <c r="Q65" s="27" t="str">
        <f t="shared" si="4"/>
        <v/>
      </c>
      <c r="R65" s="27">
        <f t="shared" si="4"/>
        <v>13</v>
      </c>
      <c r="S65" s="27">
        <f t="shared" si="4"/>
        <v>13</v>
      </c>
      <c r="T65" s="28" t="str">
        <f t="shared" si="4"/>
        <v/>
      </c>
      <c r="U65" s="22" t="b">
        <v>0</v>
      </c>
      <c r="V65" s="23">
        <v>46296</v>
      </c>
      <c r="W65" s="23">
        <v>46327</v>
      </c>
      <c r="X65" s="65" t="s">
        <v>40</v>
      </c>
      <c r="Z65" s="4" t="str">
        <f ca="1"/>
        <v>NOT STARTED</v>
      </c>
    </row>
    <row r="66" spans="1:29" ht="15" customHeight="1" x14ac:dyDescent="0.3">
      <c r="A66" s="15">
        <v>63</v>
      </c>
      <c r="B66" s="62" t="s">
        <v>102</v>
      </c>
      <c r="C66" s="65">
        <v>1</v>
      </c>
      <c r="D66" s="65" t="s">
        <v>129</v>
      </c>
      <c r="E66" s="15" t="s">
        <v>26</v>
      </c>
      <c r="F66" s="15" t="s">
        <v>27</v>
      </c>
      <c r="G66" s="4" t="str">
        <v>Pengadaan - Lahan | AJB</v>
      </c>
      <c r="H66" s="4">
        <v>14</v>
      </c>
      <c r="I66" s="26" t="str">
        <f t="shared" si="4"/>
        <v/>
      </c>
      <c r="J66" s="27" t="str">
        <f t="shared" si="4"/>
        <v/>
      </c>
      <c r="K66" s="27" t="str">
        <f t="shared" si="4"/>
        <v/>
      </c>
      <c r="L66" s="27" t="str">
        <f t="shared" si="4"/>
        <v/>
      </c>
      <c r="M66" s="27" t="str">
        <f t="shared" si="4"/>
        <v/>
      </c>
      <c r="N66" s="27" t="str">
        <f t="shared" si="4"/>
        <v/>
      </c>
      <c r="O66" s="27" t="str">
        <f t="shared" si="4"/>
        <v/>
      </c>
      <c r="P66" s="27" t="str">
        <f t="shared" si="4"/>
        <v/>
      </c>
      <c r="Q66" s="27" t="str">
        <f t="shared" si="4"/>
        <v/>
      </c>
      <c r="R66" s="27" t="str">
        <f t="shared" si="4"/>
        <v/>
      </c>
      <c r="S66" s="27" t="str">
        <f t="shared" si="4"/>
        <v/>
      </c>
      <c r="T66" s="28">
        <f t="shared" si="4"/>
        <v>14</v>
      </c>
      <c r="U66" s="22" t="b">
        <v>0</v>
      </c>
      <c r="V66" s="23">
        <v>46357</v>
      </c>
      <c r="W66" s="23">
        <v>46357</v>
      </c>
      <c r="X66" s="65" t="s">
        <v>40</v>
      </c>
      <c r="Z66" s="4" t="str">
        <f ca="1"/>
        <v>NOT STARTED</v>
      </c>
    </row>
    <row r="67" spans="1:29" ht="15" customHeight="1" x14ac:dyDescent="0.3">
      <c r="A67" s="15">
        <v>64</v>
      </c>
      <c r="B67" s="62" t="s">
        <v>103</v>
      </c>
      <c r="C67" s="65">
        <v>1</v>
      </c>
      <c r="D67" s="65" t="s">
        <v>129</v>
      </c>
      <c r="E67" s="15" t="s">
        <v>26</v>
      </c>
      <c r="F67" s="15" t="s">
        <v>18</v>
      </c>
      <c r="G67" s="4" t="str">
        <v>Pengadaan - Lahan | KAK</v>
      </c>
      <c r="H67" s="4">
        <v>13</v>
      </c>
      <c r="I67" s="19" t="str">
        <f t="shared" si="4"/>
        <v/>
      </c>
      <c r="J67" s="20" t="str">
        <f t="shared" si="4"/>
        <v/>
      </c>
      <c r="K67" s="20" t="str">
        <f t="shared" si="4"/>
        <v/>
      </c>
      <c r="L67" s="20" t="str">
        <f t="shared" si="4"/>
        <v/>
      </c>
      <c r="M67" s="20" t="str">
        <f t="shared" si="4"/>
        <v/>
      </c>
      <c r="N67" s="20" t="str">
        <f t="shared" si="4"/>
        <v/>
      </c>
      <c r="O67" s="20" t="str">
        <f t="shared" si="4"/>
        <v/>
      </c>
      <c r="P67" s="20" t="str">
        <f t="shared" si="4"/>
        <v/>
      </c>
      <c r="Q67" s="20" t="str">
        <f t="shared" si="4"/>
        <v/>
      </c>
      <c r="R67" s="20">
        <f t="shared" si="4"/>
        <v>13</v>
      </c>
      <c r="S67" s="20">
        <f t="shared" si="4"/>
        <v>13</v>
      </c>
      <c r="T67" s="21" t="str">
        <f t="shared" si="4"/>
        <v/>
      </c>
      <c r="U67" s="22" t="b">
        <v>0</v>
      </c>
      <c r="V67" s="23">
        <v>46296</v>
      </c>
      <c r="W67" s="23">
        <v>46327</v>
      </c>
      <c r="X67" s="65" t="s">
        <v>40</v>
      </c>
      <c r="Z67" s="4" t="str">
        <f ca="1"/>
        <v>NOT STARTED</v>
      </c>
    </row>
    <row r="68" spans="1:29" ht="15" customHeight="1" x14ac:dyDescent="0.3">
      <c r="A68" s="15">
        <v>65</v>
      </c>
      <c r="B68" s="62" t="s">
        <v>103</v>
      </c>
      <c r="C68" s="65">
        <v>1</v>
      </c>
      <c r="D68" s="65" t="s">
        <v>129</v>
      </c>
      <c r="E68" s="15" t="s">
        <v>26</v>
      </c>
      <c r="F68" s="15" t="s">
        <v>27</v>
      </c>
      <c r="G68" s="4" t="str">
        <v>Pengadaan - Lahan | AJB</v>
      </c>
      <c r="H68" s="4">
        <v>14</v>
      </c>
      <c r="I68" s="46" t="str">
        <f t="shared" ref="I68:T83" si="5">IF(AND(I$3 &gt;= $V68, I$3 &lt;= $W68), $H68, "")</f>
        <v/>
      </c>
      <c r="J68" s="47" t="str">
        <f t="shared" si="5"/>
        <v/>
      </c>
      <c r="K68" s="47" t="str">
        <f t="shared" si="5"/>
        <v/>
      </c>
      <c r="L68" s="47" t="str">
        <f t="shared" si="5"/>
        <v/>
      </c>
      <c r="M68" s="47" t="str">
        <f t="shared" si="5"/>
        <v/>
      </c>
      <c r="N68" s="47" t="str">
        <f t="shared" si="5"/>
        <v/>
      </c>
      <c r="O68" s="47" t="str">
        <f t="shared" si="5"/>
        <v/>
      </c>
      <c r="P68" s="47" t="str">
        <f t="shared" si="5"/>
        <v/>
      </c>
      <c r="Q68" s="47" t="str">
        <f t="shared" si="5"/>
        <v/>
      </c>
      <c r="R68" s="47" t="str">
        <f t="shared" si="5"/>
        <v/>
      </c>
      <c r="S68" s="47" t="str">
        <f t="shared" si="5"/>
        <v/>
      </c>
      <c r="T68" s="48">
        <f t="shared" si="5"/>
        <v>14</v>
      </c>
      <c r="U68" s="22" t="b">
        <v>0</v>
      </c>
      <c r="V68" s="23">
        <v>46357</v>
      </c>
      <c r="W68" s="23">
        <v>46357</v>
      </c>
      <c r="X68" s="65" t="s">
        <v>40</v>
      </c>
      <c r="Z68" s="4" t="str">
        <f ca="1"/>
        <v>NOT STARTED</v>
      </c>
    </row>
    <row r="69" spans="1:29" ht="15" customHeight="1" x14ac:dyDescent="0.3">
      <c r="A69" s="15">
        <v>66</v>
      </c>
      <c r="B69" s="63" t="s">
        <v>104</v>
      </c>
      <c r="C69" s="66">
        <v>1</v>
      </c>
      <c r="D69" s="66" t="s">
        <v>127</v>
      </c>
      <c r="E69" s="15" t="s">
        <v>13</v>
      </c>
      <c r="F69" s="15" t="s">
        <v>14</v>
      </c>
      <c r="G69" s="4" t="str">
        <v>Pra Pembangunan dan Pra Pengadaan | RBT</v>
      </c>
      <c r="H69" s="4">
        <v>5</v>
      </c>
      <c r="I69" s="19"/>
      <c r="J69" s="20"/>
      <c r="K69" s="20"/>
      <c r="L69" s="20"/>
      <c r="M69" s="20"/>
      <c r="N69" s="20">
        <f t="shared" si="5"/>
        <v>5</v>
      </c>
      <c r="O69" s="20"/>
      <c r="P69" s="20"/>
      <c r="Q69" s="20"/>
      <c r="R69" s="20"/>
      <c r="S69" s="20"/>
      <c r="T69" s="21"/>
      <c r="U69" s="22" t="b">
        <v>1</v>
      </c>
      <c r="V69" s="23">
        <v>46174</v>
      </c>
      <c r="W69" s="23">
        <v>46174</v>
      </c>
      <c r="X69" s="66" t="s">
        <v>37</v>
      </c>
      <c r="Y69" s="32">
        <v>46212</v>
      </c>
      <c r="Z69" s="4" t="str">
        <f ca="1"/>
        <v>ON TRACK</v>
      </c>
    </row>
    <row r="70" spans="1:29" ht="15" customHeight="1" x14ac:dyDescent="0.3">
      <c r="A70" s="15">
        <v>67</v>
      </c>
      <c r="B70" s="63" t="s">
        <v>104</v>
      </c>
      <c r="C70" s="67">
        <v>1</v>
      </c>
      <c r="D70" s="66" t="s">
        <v>127</v>
      </c>
      <c r="E70" s="15" t="s">
        <v>13</v>
      </c>
      <c r="F70" s="15" t="s">
        <v>15</v>
      </c>
      <c r="G70" s="4" t="str">
        <v>Pra Pembangunan dan Pra Pengadaan | RPP</v>
      </c>
      <c r="H70" s="4">
        <v>4</v>
      </c>
      <c r="I70" s="27" t="str">
        <f t="shared" si="5"/>
        <v/>
      </c>
      <c r="J70" s="27" t="str">
        <f t="shared" si="5"/>
        <v/>
      </c>
      <c r="K70" s="27" t="str">
        <f t="shared" si="5"/>
        <v/>
      </c>
      <c r="L70" s="27" t="str">
        <f t="shared" si="5"/>
        <v/>
      </c>
      <c r="M70" s="27" t="str">
        <f t="shared" si="5"/>
        <v/>
      </c>
      <c r="N70" s="27" t="str">
        <f t="shared" si="5"/>
        <v/>
      </c>
      <c r="O70" s="27" t="str">
        <f t="shared" si="5"/>
        <v/>
      </c>
      <c r="P70" s="27" t="str">
        <f t="shared" si="5"/>
        <v/>
      </c>
      <c r="Q70" s="27">
        <f t="shared" si="5"/>
        <v>4</v>
      </c>
      <c r="R70" s="27" t="str">
        <f t="shared" si="5"/>
        <v/>
      </c>
      <c r="S70" s="27" t="str">
        <f t="shared" si="5"/>
        <v/>
      </c>
      <c r="T70" s="27" t="str">
        <f t="shared" si="5"/>
        <v/>
      </c>
      <c r="U70" s="45" t="b">
        <v>1</v>
      </c>
      <c r="V70" s="23">
        <v>46266</v>
      </c>
      <c r="W70" s="23">
        <v>46266</v>
      </c>
      <c r="X70" s="67" t="s">
        <v>37</v>
      </c>
      <c r="Y70" s="32">
        <v>46231</v>
      </c>
      <c r="Z70" s="4" t="str">
        <f ca="1"/>
        <v>ON TRACK</v>
      </c>
    </row>
    <row r="71" spans="1:29" ht="15" customHeight="1" x14ac:dyDescent="0.3">
      <c r="A71" s="15">
        <v>68</v>
      </c>
      <c r="B71" s="63" t="s">
        <v>104</v>
      </c>
      <c r="C71" s="67">
        <v>1</v>
      </c>
      <c r="D71" s="66" t="s">
        <v>127</v>
      </c>
      <c r="E71" s="15" t="s">
        <v>13</v>
      </c>
      <c r="F71" s="15" t="s">
        <v>16</v>
      </c>
      <c r="G71" s="4" t="str">
        <v>Pra Pembangunan dan Pra Pengadaan | RBTek</v>
      </c>
      <c r="H71" s="4">
        <v>6</v>
      </c>
      <c r="I71" s="26" t="str">
        <f t="shared" si="5"/>
        <v/>
      </c>
      <c r="J71" s="27" t="str">
        <f t="shared" si="5"/>
        <v/>
      </c>
      <c r="K71" s="27" t="str">
        <f t="shared" si="5"/>
        <v/>
      </c>
      <c r="L71" s="27" t="str">
        <f t="shared" si="5"/>
        <v/>
      </c>
      <c r="M71" s="27" t="str">
        <f t="shared" si="5"/>
        <v/>
      </c>
      <c r="N71" s="27" t="str">
        <f t="shared" si="5"/>
        <v/>
      </c>
      <c r="O71" s="27" t="str">
        <f t="shared" si="5"/>
        <v/>
      </c>
      <c r="P71" s="27" t="str">
        <f t="shared" si="5"/>
        <v/>
      </c>
      <c r="Q71" s="27" t="str">
        <f t="shared" si="5"/>
        <v/>
      </c>
      <c r="R71" s="27" t="str">
        <f t="shared" si="5"/>
        <v/>
      </c>
      <c r="S71" s="27" t="str">
        <f t="shared" si="5"/>
        <v/>
      </c>
      <c r="T71" s="28">
        <f t="shared" si="5"/>
        <v>6</v>
      </c>
      <c r="U71" s="22" t="b">
        <v>0</v>
      </c>
      <c r="V71" s="23">
        <v>46357</v>
      </c>
      <c r="W71" s="23">
        <v>46357</v>
      </c>
      <c r="X71" s="67" t="s">
        <v>37</v>
      </c>
      <c r="Z71" s="4" t="str">
        <f ca="1"/>
        <v>NOT STARTED</v>
      </c>
    </row>
    <row r="72" spans="1:29" ht="15" customHeight="1" x14ac:dyDescent="0.3">
      <c r="A72" s="15">
        <v>69</v>
      </c>
      <c r="B72" s="63" t="s">
        <v>104</v>
      </c>
      <c r="C72" s="67">
        <v>1</v>
      </c>
      <c r="D72" s="66" t="s">
        <v>127</v>
      </c>
      <c r="E72" s="15" t="s">
        <v>20</v>
      </c>
      <c r="F72" s="15" t="s">
        <v>18</v>
      </c>
      <c r="G72" s="4" t="str">
        <v>Pengadaan - Kons. MK | KAK</v>
      </c>
      <c r="H72" s="4">
        <v>11</v>
      </c>
      <c r="I72" s="26" t="str">
        <f t="shared" si="5"/>
        <v/>
      </c>
      <c r="J72" s="27" t="str">
        <f t="shared" si="5"/>
        <v/>
      </c>
      <c r="K72" s="27" t="str">
        <f t="shared" si="5"/>
        <v/>
      </c>
      <c r="L72" s="27">
        <f t="shared" si="5"/>
        <v>11</v>
      </c>
      <c r="M72" s="27">
        <f t="shared" si="5"/>
        <v>11</v>
      </c>
      <c r="N72" s="27">
        <f t="shared" si="5"/>
        <v>11</v>
      </c>
      <c r="O72" s="27">
        <f t="shared" si="5"/>
        <v>11</v>
      </c>
      <c r="P72" s="27" t="str">
        <f t="shared" si="5"/>
        <v/>
      </c>
      <c r="Q72" s="27" t="str">
        <f t="shared" si="5"/>
        <v/>
      </c>
      <c r="R72" s="27" t="str">
        <f t="shared" si="5"/>
        <v/>
      </c>
      <c r="S72" s="27" t="str">
        <f t="shared" si="5"/>
        <v/>
      </c>
      <c r="T72" s="28" t="str">
        <f t="shared" si="5"/>
        <v/>
      </c>
      <c r="U72" s="22" t="b">
        <v>1</v>
      </c>
      <c r="V72" s="23">
        <v>46113</v>
      </c>
      <c r="W72" s="23">
        <v>46204</v>
      </c>
      <c r="X72" s="67" t="s">
        <v>37</v>
      </c>
      <c r="Y72" s="32">
        <v>46122</v>
      </c>
      <c r="Z72" s="4" t="str">
        <f ca="1"/>
        <v>ON TRACK</v>
      </c>
      <c r="AB72" s="4" t="s">
        <v>81</v>
      </c>
      <c r="AC72" s="4" t="s">
        <v>82</v>
      </c>
    </row>
    <row r="73" spans="1:29" ht="15" customHeight="1" x14ac:dyDescent="0.3">
      <c r="A73" s="15">
        <v>70</v>
      </c>
      <c r="B73" s="63" t="s">
        <v>104</v>
      </c>
      <c r="C73" s="67">
        <v>1</v>
      </c>
      <c r="D73" s="66" t="s">
        <v>127</v>
      </c>
      <c r="E73" s="15" t="s">
        <v>17</v>
      </c>
      <c r="F73" s="15" t="s">
        <v>19</v>
      </c>
      <c r="G73" s="4" t="str">
        <v>Pengadaan - Kons. Perancang | SPPP</v>
      </c>
      <c r="H73" s="4">
        <v>10</v>
      </c>
      <c r="I73" s="26" t="str">
        <f t="shared" si="5"/>
        <v/>
      </c>
      <c r="J73" s="27" t="str">
        <f t="shared" si="5"/>
        <v/>
      </c>
      <c r="K73" s="27" t="str">
        <f t="shared" si="5"/>
        <v/>
      </c>
      <c r="L73" s="27">
        <f t="shared" si="5"/>
        <v>10</v>
      </c>
      <c r="M73" s="27">
        <f t="shared" si="5"/>
        <v>10</v>
      </c>
      <c r="N73" s="27">
        <f t="shared" si="5"/>
        <v>10</v>
      </c>
      <c r="O73" s="27">
        <f t="shared" si="5"/>
        <v>10</v>
      </c>
      <c r="P73" s="27">
        <f t="shared" si="5"/>
        <v>10</v>
      </c>
      <c r="Q73" s="27">
        <f t="shared" si="5"/>
        <v>10</v>
      </c>
      <c r="R73" s="27">
        <f t="shared" si="5"/>
        <v>10</v>
      </c>
      <c r="S73" s="27">
        <f t="shared" si="5"/>
        <v>10</v>
      </c>
      <c r="T73" s="28" t="str">
        <f t="shared" si="5"/>
        <v/>
      </c>
      <c r="U73" s="22" t="b">
        <v>1</v>
      </c>
      <c r="V73" s="23">
        <v>46113</v>
      </c>
      <c r="W73" s="23">
        <v>46327</v>
      </c>
      <c r="X73" s="67" t="s">
        <v>37</v>
      </c>
      <c r="Y73" s="32">
        <v>46128</v>
      </c>
      <c r="Z73" s="4" t="str">
        <f ca="1"/>
        <v>ON TRACK</v>
      </c>
      <c r="AB73" s="4" t="s">
        <v>83</v>
      </c>
      <c r="AC73" s="4" t="s">
        <v>84</v>
      </c>
    </row>
    <row r="74" spans="1:29" ht="15" customHeight="1" x14ac:dyDescent="0.3">
      <c r="A74" s="15">
        <v>71</v>
      </c>
      <c r="B74" s="63" t="s">
        <v>104</v>
      </c>
      <c r="C74" s="68">
        <v>1</v>
      </c>
      <c r="D74" s="66" t="s">
        <v>127</v>
      </c>
      <c r="E74" s="15" t="s">
        <v>20</v>
      </c>
      <c r="F74" s="15" t="s">
        <v>19</v>
      </c>
      <c r="G74" s="4" t="str">
        <v>Pengadaan - Kons. MK | SPPP</v>
      </c>
      <c r="H74" s="4">
        <v>12</v>
      </c>
      <c r="I74" s="26" t="str">
        <f t="shared" si="5"/>
        <v/>
      </c>
      <c r="J74" s="27" t="str">
        <f t="shared" si="5"/>
        <v/>
      </c>
      <c r="K74" s="27" t="str">
        <f t="shared" si="5"/>
        <v/>
      </c>
      <c r="L74" s="27" t="str">
        <f t="shared" si="5"/>
        <v/>
      </c>
      <c r="M74" s="27" t="str">
        <f t="shared" si="5"/>
        <v/>
      </c>
      <c r="N74" s="27" t="str">
        <f t="shared" si="5"/>
        <v/>
      </c>
      <c r="O74" s="27" t="str">
        <f t="shared" si="5"/>
        <v/>
      </c>
      <c r="P74" s="27">
        <f t="shared" si="5"/>
        <v>12</v>
      </c>
      <c r="Q74" s="27" t="str">
        <f t="shared" si="5"/>
        <v/>
      </c>
      <c r="R74" s="27" t="str">
        <f t="shared" si="5"/>
        <v/>
      </c>
      <c r="S74" s="27" t="str">
        <f t="shared" si="5"/>
        <v/>
      </c>
      <c r="T74" s="28" t="str">
        <f t="shared" si="5"/>
        <v/>
      </c>
      <c r="U74" s="22" t="b">
        <v>1</v>
      </c>
      <c r="V74" s="23">
        <v>46235</v>
      </c>
      <c r="W74" s="23">
        <v>46235</v>
      </c>
      <c r="X74" s="68" t="s">
        <v>37</v>
      </c>
      <c r="Y74" s="32">
        <v>46225</v>
      </c>
      <c r="Z74" s="4" t="str">
        <f ca="1"/>
        <v>ON TRACK</v>
      </c>
    </row>
    <row r="75" spans="1:29" ht="15" customHeight="1" x14ac:dyDescent="0.3">
      <c r="A75" s="15">
        <v>72</v>
      </c>
      <c r="B75" s="16" t="s">
        <v>105</v>
      </c>
      <c r="C75" s="17">
        <v>1</v>
      </c>
      <c r="D75" s="66" t="s">
        <v>127</v>
      </c>
      <c r="E75" s="15" t="s">
        <v>22</v>
      </c>
      <c r="F75" s="18" t="s">
        <v>30</v>
      </c>
      <c r="G75" s="4" t="str">
        <v>Implementasi | Pembangunan Fisik</v>
      </c>
      <c r="H75" s="4">
        <v>1</v>
      </c>
      <c r="I75" s="19">
        <f t="shared" si="5"/>
        <v>1</v>
      </c>
      <c r="J75" s="20">
        <f t="shared" si="5"/>
        <v>1</v>
      </c>
      <c r="K75" s="20">
        <f t="shared" si="5"/>
        <v>1</v>
      </c>
      <c r="L75" s="20">
        <f t="shared" si="5"/>
        <v>1</v>
      </c>
      <c r="M75" s="20">
        <f t="shared" si="5"/>
        <v>1</v>
      </c>
      <c r="N75" s="20">
        <f t="shared" si="5"/>
        <v>1</v>
      </c>
      <c r="O75" s="20">
        <f t="shared" si="5"/>
        <v>1</v>
      </c>
      <c r="P75" s="20">
        <f t="shared" si="5"/>
        <v>1</v>
      </c>
      <c r="Q75" s="20">
        <f t="shared" si="5"/>
        <v>1</v>
      </c>
      <c r="R75" s="20">
        <f t="shared" si="5"/>
        <v>1</v>
      </c>
      <c r="S75" s="20">
        <f t="shared" si="5"/>
        <v>1</v>
      </c>
      <c r="T75" s="21">
        <f t="shared" si="5"/>
        <v>1</v>
      </c>
      <c r="U75" s="22" t="b">
        <v>1</v>
      </c>
      <c r="V75" s="23">
        <v>46023</v>
      </c>
      <c r="W75" s="23">
        <v>46357</v>
      </c>
      <c r="X75" s="17" t="s">
        <v>37</v>
      </c>
      <c r="Z75" s="4" t="str">
        <f ca="1"/>
        <v>ON TRACK</v>
      </c>
    </row>
    <row r="76" spans="1:29" ht="15" customHeight="1" x14ac:dyDescent="0.3">
      <c r="A76" s="15">
        <v>73</v>
      </c>
      <c r="B76" s="62" t="s">
        <v>106</v>
      </c>
      <c r="C76" s="65">
        <v>1</v>
      </c>
      <c r="D76" s="65" t="s">
        <v>128</v>
      </c>
      <c r="E76" s="15" t="s">
        <v>13</v>
      </c>
      <c r="F76" s="15" t="s">
        <v>15</v>
      </c>
      <c r="G76" s="4" t="str">
        <v>Pra Pembangunan dan Pra Pengadaan | RPP</v>
      </c>
      <c r="H76" s="4">
        <v>4</v>
      </c>
      <c r="I76" s="19" t="str">
        <f t="shared" si="5"/>
        <v/>
      </c>
      <c r="J76" s="20" t="str">
        <f t="shared" si="5"/>
        <v/>
      </c>
      <c r="K76" s="20" t="str">
        <f t="shared" si="5"/>
        <v/>
      </c>
      <c r="L76" s="20" t="str">
        <f t="shared" si="5"/>
        <v/>
      </c>
      <c r="M76" s="20">
        <f t="shared" si="5"/>
        <v>4</v>
      </c>
      <c r="N76" s="20" t="str">
        <f t="shared" si="5"/>
        <v/>
      </c>
      <c r="O76" s="20" t="str">
        <f t="shared" si="5"/>
        <v/>
      </c>
      <c r="P76" s="20" t="str">
        <f t="shared" si="5"/>
        <v/>
      </c>
      <c r="Q76" s="20" t="str">
        <f t="shared" si="5"/>
        <v/>
      </c>
      <c r="R76" s="20" t="str">
        <f t="shared" si="5"/>
        <v/>
      </c>
      <c r="S76" s="20" t="str">
        <f t="shared" si="5"/>
        <v/>
      </c>
      <c r="T76" s="21" t="str">
        <f t="shared" si="5"/>
        <v/>
      </c>
      <c r="U76" s="22" t="b">
        <v>1</v>
      </c>
      <c r="V76" s="23">
        <v>46143</v>
      </c>
      <c r="W76" s="23">
        <v>46173</v>
      </c>
      <c r="X76" s="65" t="s">
        <v>37</v>
      </c>
      <c r="Y76" s="32">
        <v>46248</v>
      </c>
      <c r="Z76" s="4" t="str">
        <f ca="1"/>
        <v>ON TRACK</v>
      </c>
    </row>
    <row r="77" spans="1:29" ht="15" customHeight="1" x14ac:dyDescent="0.3">
      <c r="A77" s="15">
        <v>74</v>
      </c>
      <c r="B77" s="62" t="s">
        <v>106</v>
      </c>
      <c r="C77" s="65">
        <v>1</v>
      </c>
      <c r="D77" s="65" t="s">
        <v>128</v>
      </c>
      <c r="E77" s="15" t="s">
        <v>13</v>
      </c>
      <c r="F77" s="15" t="s">
        <v>16</v>
      </c>
      <c r="G77" s="4" t="str">
        <v>Pra Pembangunan dan Pra Pengadaan | RBTek</v>
      </c>
      <c r="H77" s="4">
        <v>6</v>
      </c>
      <c r="I77" s="26" t="str">
        <f t="shared" si="5"/>
        <v/>
      </c>
      <c r="J77" s="27" t="str">
        <f t="shared" si="5"/>
        <v/>
      </c>
      <c r="K77" s="27" t="str">
        <f t="shared" si="5"/>
        <v/>
      </c>
      <c r="L77" s="27" t="str">
        <f t="shared" si="5"/>
        <v/>
      </c>
      <c r="M77" s="27" t="str">
        <f t="shared" si="5"/>
        <v/>
      </c>
      <c r="N77" s="27" t="str">
        <f t="shared" si="5"/>
        <v/>
      </c>
      <c r="O77" s="27" t="str">
        <f t="shared" si="5"/>
        <v/>
      </c>
      <c r="P77" s="27">
        <f t="shared" si="5"/>
        <v>6</v>
      </c>
      <c r="Q77" s="27" t="str">
        <f t="shared" si="5"/>
        <v/>
      </c>
      <c r="R77" s="27" t="str">
        <f t="shared" si="5"/>
        <v/>
      </c>
      <c r="S77" s="27" t="str">
        <f t="shared" si="5"/>
        <v/>
      </c>
      <c r="T77" s="28" t="str">
        <f t="shared" si="5"/>
        <v/>
      </c>
      <c r="U77" s="22" t="b">
        <v>0</v>
      </c>
      <c r="V77" s="23">
        <v>46235</v>
      </c>
      <c r="W77" s="23">
        <v>46235</v>
      </c>
      <c r="X77" s="65" t="s">
        <v>37</v>
      </c>
      <c r="Z77" s="4" t="str">
        <f ca="1"/>
        <v>BEHIND</v>
      </c>
    </row>
    <row r="78" spans="1:29" ht="15" customHeight="1" x14ac:dyDescent="0.3">
      <c r="A78" s="15">
        <v>75</v>
      </c>
      <c r="B78" s="62" t="s">
        <v>106</v>
      </c>
      <c r="C78" s="65">
        <v>1</v>
      </c>
      <c r="D78" s="65" t="s">
        <v>128</v>
      </c>
      <c r="E78" s="15" t="s">
        <v>20</v>
      </c>
      <c r="F78" s="15" t="s">
        <v>18</v>
      </c>
      <c r="G78" s="4" t="str">
        <v>Pengadaan - Kons. MK | KAK</v>
      </c>
      <c r="H78" s="4">
        <v>11</v>
      </c>
      <c r="I78" s="26" t="str">
        <f t="shared" si="5"/>
        <v/>
      </c>
      <c r="J78" s="27">
        <f t="shared" si="5"/>
        <v>11</v>
      </c>
      <c r="K78" s="27">
        <f t="shared" si="5"/>
        <v>11</v>
      </c>
      <c r="L78" s="27">
        <f t="shared" si="5"/>
        <v>11</v>
      </c>
      <c r="M78" s="27" t="str">
        <f t="shared" si="5"/>
        <v/>
      </c>
      <c r="N78" s="27" t="str">
        <f t="shared" si="5"/>
        <v/>
      </c>
      <c r="O78" s="27" t="str">
        <f t="shared" si="5"/>
        <v/>
      </c>
      <c r="P78" s="27" t="str">
        <f t="shared" si="5"/>
        <v/>
      </c>
      <c r="Q78" s="27" t="str">
        <f t="shared" si="5"/>
        <v/>
      </c>
      <c r="R78" s="27" t="str">
        <f t="shared" si="5"/>
        <v/>
      </c>
      <c r="S78" s="27" t="str">
        <f t="shared" si="5"/>
        <v/>
      </c>
      <c r="T78" s="28" t="str">
        <f t="shared" si="5"/>
        <v/>
      </c>
      <c r="U78" s="22" t="b">
        <v>1</v>
      </c>
      <c r="V78" s="23">
        <v>46054</v>
      </c>
      <c r="W78" s="23">
        <v>46113</v>
      </c>
      <c r="X78" s="65" t="s">
        <v>37</v>
      </c>
      <c r="Y78" s="32">
        <v>46051</v>
      </c>
      <c r="Z78" s="4" t="str">
        <f ca="1"/>
        <v>ON TRACK</v>
      </c>
    </row>
    <row r="79" spans="1:29" ht="15" customHeight="1" x14ac:dyDescent="0.3">
      <c r="A79" s="15">
        <v>76</v>
      </c>
      <c r="B79" s="62" t="s">
        <v>106</v>
      </c>
      <c r="C79" s="65">
        <v>1</v>
      </c>
      <c r="D79" s="65" t="s">
        <v>128</v>
      </c>
      <c r="E79" s="15" t="s">
        <v>21</v>
      </c>
      <c r="F79" s="15" t="s">
        <v>18</v>
      </c>
      <c r="G79" s="4" t="str">
        <v>Pengadaan - Kontraktor | KAK</v>
      </c>
      <c r="H79" s="4">
        <v>7</v>
      </c>
      <c r="I79" s="26" t="str">
        <f t="shared" si="5"/>
        <v/>
      </c>
      <c r="J79" s="27" t="str">
        <f t="shared" si="5"/>
        <v/>
      </c>
      <c r="K79" s="27" t="str">
        <f t="shared" si="5"/>
        <v/>
      </c>
      <c r="L79" s="27" t="str">
        <f t="shared" si="5"/>
        <v/>
      </c>
      <c r="M79" s="27" t="str">
        <f t="shared" si="5"/>
        <v/>
      </c>
      <c r="N79" s="27" t="str">
        <f t="shared" si="5"/>
        <v/>
      </c>
      <c r="O79" s="27" t="str">
        <f t="shared" si="5"/>
        <v/>
      </c>
      <c r="P79" s="27">
        <f t="shared" si="5"/>
        <v>7</v>
      </c>
      <c r="Q79" s="27">
        <f t="shared" si="5"/>
        <v>7</v>
      </c>
      <c r="R79" s="27">
        <f t="shared" si="5"/>
        <v>7</v>
      </c>
      <c r="S79" s="27">
        <f t="shared" si="5"/>
        <v>7</v>
      </c>
      <c r="T79" s="28" t="str">
        <f t="shared" si="5"/>
        <v/>
      </c>
      <c r="U79" s="22" t="b">
        <v>0</v>
      </c>
      <c r="V79" s="23">
        <v>46235</v>
      </c>
      <c r="W79" s="23">
        <v>46327</v>
      </c>
      <c r="X79" s="65" t="s">
        <v>37</v>
      </c>
      <c r="Z79" s="4" t="str">
        <f ca="1"/>
        <v>BEHIND</v>
      </c>
    </row>
    <row r="80" spans="1:29" ht="15" customHeight="1" x14ac:dyDescent="0.3">
      <c r="A80" s="15">
        <v>77</v>
      </c>
      <c r="B80" s="62" t="s">
        <v>106</v>
      </c>
      <c r="C80" s="65">
        <v>1</v>
      </c>
      <c r="D80" s="65" t="s">
        <v>128</v>
      </c>
      <c r="E80" s="15" t="s">
        <v>17</v>
      </c>
      <c r="F80" s="15" t="s">
        <v>19</v>
      </c>
      <c r="G80" s="4" t="str">
        <v>Pengadaan - Kons. Perancang | SPPP</v>
      </c>
      <c r="H80" s="4">
        <v>10</v>
      </c>
      <c r="I80" s="26" t="str">
        <f t="shared" si="5"/>
        <v/>
      </c>
      <c r="J80" s="27" t="str">
        <f t="shared" si="5"/>
        <v/>
      </c>
      <c r="K80" s="27" t="str">
        <f t="shared" si="5"/>
        <v/>
      </c>
      <c r="L80" s="27" t="str">
        <f t="shared" si="5"/>
        <v/>
      </c>
      <c r="M80" s="27">
        <f t="shared" si="5"/>
        <v>10</v>
      </c>
      <c r="N80" s="27">
        <f t="shared" si="5"/>
        <v>10</v>
      </c>
      <c r="O80" s="27">
        <f t="shared" si="5"/>
        <v>10</v>
      </c>
      <c r="P80" s="27" t="str">
        <f t="shared" si="5"/>
        <v/>
      </c>
      <c r="Q80" s="27" t="str">
        <f t="shared" si="5"/>
        <v/>
      </c>
      <c r="R80" s="27" t="str">
        <f t="shared" si="5"/>
        <v/>
      </c>
      <c r="S80" s="27" t="str">
        <f t="shared" si="5"/>
        <v/>
      </c>
      <c r="T80" s="28" t="str">
        <f t="shared" si="5"/>
        <v/>
      </c>
      <c r="U80" s="22" t="b">
        <v>1</v>
      </c>
      <c r="V80" s="23">
        <v>46143</v>
      </c>
      <c r="W80" s="23">
        <v>46204</v>
      </c>
      <c r="X80" s="65" t="s">
        <v>37</v>
      </c>
      <c r="Y80" s="32">
        <v>46148</v>
      </c>
      <c r="Z80" s="4" t="str">
        <f ca="1"/>
        <v>ON TRACK</v>
      </c>
      <c r="AB80" s="4" t="s">
        <v>107</v>
      </c>
    </row>
    <row r="81" spans="1:29" ht="15" customHeight="1" x14ac:dyDescent="0.3">
      <c r="A81" s="15">
        <v>78</v>
      </c>
      <c r="B81" s="62" t="s">
        <v>106</v>
      </c>
      <c r="C81" s="65">
        <v>1</v>
      </c>
      <c r="D81" s="65" t="s">
        <v>128</v>
      </c>
      <c r="E81" s="15" t="s">
        <v>20</v>
      </c>
      <c r="F81" s="15" t="s">
        <v>19</v>
      </c>
      <c r="G81" s="4" t="str">
        <v>Pengadaan - Kons. MK | SPPP</v>
      </c>
      <c r="H81" s="4">
        <v>12</v>
      </c>
      <c r="I81" s="26" t="str">
        <f t="shared" si="5"/>
        <v/>
      </c>
      <c r="J81" s="27" t="str">
        <f t="shared" si="5"/>
        <v/>
      </c>
      <c r="K81" s="27" t="str">
        <f t="shared" si="5"/>
        <v/>
      </c>
      <c r="L81" s="27" t="str">
        <f t="shared" si="5"/>
        <v/>
      </c>
      <c r="M81" s="27">
        <f t="shared" si="5"/>
        <v>12</v>
      </c>
      <c r="N81" s="27">
        <f t="shared" si="5"/>
        <v>12</v>
      </c>
      <c r="O81" s="27">
        <f t="shared" si="5"/>
        <v>12</v>
      </c>
      <c r="P81" s="27">
        <f t="shared" si="5"/>
        <v>12</v>
      </c>
      <c r="Q81" s="27">
        <f t="shared" si="5"/>
        <v>12</v>
      </c>
      <c r="R81" s="27">
        <f t="shared" si="5"/>
        <v>12</v>
      </c>
      <c r="S81" s="27">
        <f t="shared" si="5"/>
        <v>12</v>
      </c>
      <c r="T81" s="28">
        <f t="shared" si="5"/>
        <v>12</v>
      </c>
      <c r="U81" s="22" t="b">
        <v>1</v>
      </c>
      <c r="V81" s="23">
        <v>46143</v>
      </c>
      <c r="W81" s="23">
        <v>46368</v>
      </c>
      <c r="X81" s="65" t="s">
        <v>37</v>
      </c>
      <c r="Y81" s="32">
        <v>46191</v>
      </c>
      <c r="Z81" s="4" t="str">
        <f ca="1"/>
        <v>ON TRACK</v>
      </c>
      <c r="AB81" s="4" t="s">
        <v>108</v>
      </c>
      <c r="AC81" s="36" t="s">
        <v>109</v>
      </c>
    </row>
    <row r="82" spans="1:29" ht="15" customHeight="1" x14ac:dyDescent="0.3">
      <c r="A82" s="15">
        <v>79</v>
      </c>
      <c r="B82" s="62" t="s">
        <v>106</v>
      </c>
      <c r="C82" s="65">
        <v>1</v>
      </c>
      <c r="D82" s="65" t="s">
        <v>128</v>
      </c>
      <c r="E82" s="15" t="s">
        <v>21</v>
      </c>
      <c r="F82" s="15" t="s">
        <v>19</v>
      </c>
      <c r="G82" s="4" t="str">
        <v>Pengadaan - Kontraktor | SPPP</v>
      </c>
      <c r="H82" s="4">
        <v>8</v>
      </c>
      <c r="I82" s="26" t="str">
        <f t="shared" si="5"/>
        <v/>
      </c>
      <c r="J82" s="27" t="str">
        <f t="shared" si="5"/>
        <v/>
      </c>
      <c r="K82" s="27" t="str">
        <f t="shared" si="5"/>
        <v/>
      </c>
      <c r="L82" s="27" t="str">
        <f t="shared" si="5"/>
        <v/>
      </c>
      <c r="M82" s="27" t="str">
        <f t="shared" si="5"/>
        <v/>
      </c>
      <c r="N82" s="27" t="str">
        <f t="shared" si="5"/>
        <v/>
      </c>
      <c r="O82" s="27" t="str">
        <f t="shared" si="5"/>
        <v/>
      </c>
      <c r="P82" s="27" t="str">
        <f t="shared" si="5"/>
        <v/>
      </c>
      <c r="Q82" s="27" t="str">
        <f t="shared" si="5"/>
        <v/>
      </c>
      <c r="R82" s="27" t="str">
        <f t="shared" si="5"/>
        <v/>
      </c>
      <c r="S82" s="27" t="str">
        <f t="shared" si="5"/>
        <v/>
      </c>
      <c r="T82" s="28">
        <f t="shared" si="5"/>
        <v>8</v>
      </c>
      <c r="U82" s="22" t="b">
        <v>0</v>
      </c>
      <c r="V82" s="23">
        <v>46357</v>
      </c>
      <c r="W82" s="23">
        <v>46357</v>
      </c>
      <c r="X82" s="65" t="s">
        <v>37</v>
      </c>
      <c r="Z82" s="4" t="str">
        <f ca="1"/>
        <v>NOT STARTED</v>
      </c>
    </row>
    <row r="83" spans="1:29" ht="15" customHeight="1" x14ac:dyDescent="0.3">
      <c r="A83" s="15">
        <v>80</v>
      </c>
      <c r="B83" s="62" t="s">
        <v>110</v>
      </c>
      <c r="C83" s="65">
        <v>1</v>
      </c>
      <c r="D83" s="65" t="s">
        <v>128</v>
      </c>
      <c r="E83" s="15" t="s">
        <v>13</v>
      </c>
      <c r="F83" s="15" t="s">
        <v>15</v>
      </c>
      <c r="G83" s="4" t="str">
        <v>Pra Pembangunan dan Pra Pengadaan | RPP</v>
      </c>
      <c r="H83" s="4">
        <v>4</v>
      </c>
      <c r="I83" s="19" t="str">
        <f t="shared" si="5"/>
        <v/>
      </c>
      <c r="J83" s="20">
        <f t="shared" si="5"/>
        <v>4</v>
      </c>
      <c r="K83" s="20" t="str">
        <f t="shared" si="5"/>
        <v/>
      </c>
      <c r="L83" s="20" t="str">
        <f t="shared" si="5"/>
        <v/>
      </c>
      <c r="M83" s="20" t="str">
        <f t="shared" si="5"/>
        <v/>
      </c>
      <c r="N83" s="20" t="str">
        <f t="shared" si="5"/>
        <v/>
      </c>
      <c r="O83" s="20" t="str">
        <f t="shared" si="5"/>
        <v/>
      </c>
      <c r="P83" s="20" t="str">
        <f t="shared" si="5"/>
        <v/>
      </c>
      <c r="Q83" s="20" t="str">
        <f t="shared" si="5"/>
        <v/>
      </c>
      <c r="R83" s="20" t="str">
        <f t="shared" si="5"/>
        <v/>
      </c>
      <c r="S83" s="20" t="str">
        <f t="shared" si="5"/>
        <v/>
      </c>
      <c r="T83" s="21" t="str">
        <f t="shared" si="5"/>
        <v/>
      </c>
      <c r="U83" s="22" t="b">
        <v>1</v>
      </c>
      <c r="V83" s="23">
        <v>46054</v>
      </c>
      <c r="W83" s="23">
        <v>46054</v>
      </c>
      <c r="X83" s="65" t="s">
        <v>37</v>
      </c>
      <c r="Y83" s="32">
        <v>46059</v>
      </c>
      <c r="Z83" s="4" t="str">
        <f ca="1"/>
        <v>ON TRACK</v>
      </c>
    </row>
    <row r="84" spans="1:29" ht="15" customHeight="1" x14ac:dyDescent="0.3">
      <c r="A84" s="15">
        <v>81</v>
      </c>
      <c r="B84" s="62" t="s">
        <v>110</v>
      </c>
      <c r="C84" s="65">
        <v>1</v>
      </c>
      <c r="D84" s="65" t="s">
        <v>128</v>
      </c>
      <c r="E84" s="15" t="s">
        <v>13</v>
      </c>
      <c r="F84" s="15" t="s">
        <v>16</v>
      </c>
      <c r="G84" s="4" t="str">
        <v>Pra Pembangunan dan Pra Pengadaan | RBTek</v>
      </c>
      <c r="H84" s="4">
        <v>6</v>
      </c>
      <c r="I84" s="26"/>
      <c r="J84" s="27">
        <f t="shared" ref="I84:T99" si="6">IF(AND(J$3 &gt;= $V84, J$3 &lt;= $W84), $H84, "")</f>
        <v>6</v>
      </c>
      <c r="K84" s="27"/>
      <c r="L84" s="27"/>
      <c r="M84" s="27"/>
      <c r="N84" s="27"/>
      <c r="O84" s="27"/>
      <c r="P84" s="27"/>
      <c r="Q84" s="27"/>
      <c r="R84" s="27"/>
      <c r="S84" s="27"/>
      <c r="T84" s="28"/>
      <c r="U84" s="22" t="b">
        <v>1</v>
      </c>
      <c r="V84" s="23">
        <v>46054</v>
      </c>
      <c r="W84" s="23">
        <v>46054</v>
      </c>
      <c r="X84" s="65" t="s">
        <v>37</v>
      </c>
      <c r="Y84" s="32">
        <v>46108</v>
      </c>
      <c r="Z84" s="4" t="str">
        <f ca="1"/>
        <v>ON TRACK</v>
      </c>
    </row>
    <row r="85" spans="1:29" ht="15" customHeight="1" x14ac:dyDescent="0.3">
      <c r="A85" s="15">
        <v>82</v>
      </c>
      <c r="B85" s="62" t="s">
        <v>110</v>
      </c>
      <c r="C85" s="65">
        <v>1</v>
      </c>
      <c r="D85" s="65" t="s">
        <v>128</v>
      </c>
      <c r="E85" s="15" t="s">
        <v>21</v>
      </c>
      <c r="F85" s="15" t="s">
        <v>18</v>
      </c>
      <c r="G85" s="4" t="str">
        <v>Pengadaan - Kontraktor | KAK</v>
      </c>
      <c r="H85" s="4">
        <v>7</v>
      </c>
      <c r="I85" s="26" t="str">
        <f t="shared" si="6"/>
        <v/>
      </c>
      <c r="J85" s="27">
        <f t="shared" si="6"/>
        <v>7</v>
      </c>
      <c r="K85" s="27">
        <f t="shared" si="6"/>
        <v>7</v>
      </c>
      <c r="L85" s="27">
        <f t="shared" si="6"/>
        <v>7</v>
      </c>
      <c r="M85" s="27">
        <f t="shared" si="6"/>
        <v>7</v>
      </c>
      <c r="N85" s="27" t="str">
        <f t="shared" si="6"/>
        <v/>
      </c>
      <c r="O85" s="27" t="str">
        <f t="shared" si="6"/>
        <v/>
      </c>
      <c r="P85" s="27" t="str">
        <f t="shared" si="6"/>
        <v/>
      </c>
      <c r="Q85" s="27" t="str">
        <f t="shared" si="6"/>
        <v/>
      </c>
      <c r="R85" s="27" t="str">
        <f t="shared" si="6"/>
        <v/>
      </c>
      <c r="S85" s="27" t="str">
        <f t="shared" si="6"/>
        <v/>
      </c>
      <c r="T85" s="28" t="str">
        <f t="shared" si="6"/>
        <v/>
      </c>
      <c r="U85" s="22" t="b">
        <v>1</v>
      </c>
      <c r="V85" s="23">
        <v>46054</v>
      </c>
      <c r="W85" s="23">
        <v>46143</v>
      </c>
      <c r="X85" s="65" t="s">
        <v>37</v>
      </c>
      <c r="Y85" s="32">
        <v>46108</v>
      </c>
      <c r="Z85" s="4" t="str">
        <f ca="1"/>
        <v>ON TRACK</v>
      </c>
    </row>
    <row r="86" spans="1:29" ht="15" customHeight="1" x14ac:dyDescent="0.3">
      <c r="A86" s="15">
        <v>83</v>
      </c>
      <c r="B86" s="62" t="s">
        <v>110</v>
      </c>
      <c r="C86" s="65">
        <v>1</v>
      </c>
      <c r="D86" s="65" t="s">
        <v>128</v>
      </c>
      <c r="E86" s="15" t="s">
        <v>17</v>
      </c>
      <c r="F86" s="15" t="s">
        <v>19</v>
      </c>
      <c r="G86" s="4" t="str">
        <v>Pengadaan - Kons. Perancang | SPPP</v>
      </c>
      <c r="H86" s="4">
        <v>10</v>
      </c>
      <c r="I86" s="26">
        <f t="shared" si="6"/>
        <v>10</v>
      </c>
      <c r="J86" s="27" t="str">
        <f t="shared" si="6"/>
        <v/>
      </c>
      <c r="K86" s="27" t="str">
        <f t="shared" si="6"/>
        <v/>
      </c>
      <c r="L86" s="27" t="str">
        <f t="shared" si="6"/>
        <v/>
      </c>
      <c r="M86" s="27" t="str">
        <f t="shared" si="6"/>
        <v/>
      </c>
      <c r="N86" s="27" t="str">
        <f t="shared" si="6"/>
        <v/>
      </c>
      <c r="O86" s="27" t="str">
        <f t="shared" si="6"/>
        <v/>
      </c>
      <c r="P86" s="27" t="str">
        <f t="shared" si="6"/>
        <v/>
      </c>
      <c r="Q86" s="27" t="str">
        <f t="shared" si="6"/>
        <v/>
      </c>
      <c r="R86" s="27" t="str">
        <f t="shared" si="6"/>
        <v/>
      </c>
      <c r="S86" s="27" t="str">
        <f t="shared" si="6"/>
        <v/>
      </c>
      <c r="T86" s="28" t="str">
        <f t="shared" si="6"/>
        <v/>
      </c>
      <c r="U86" s="22" t="b">
        <v>1</v>
      </c>
      <c r="V86" s="23">
        <v>46023</v>
      </c>
      <c r="W86" s="23">
        <v>46023</v>
      </c>
      <c r="X86" s="65" t="s">
        <v>37</v>
      </c>
      <c r="Y86" s="32">
        <v>46028</v>
      </c>
      <c r="Z86" s="4" t="str">
        <f ca="1"/>
        <v>ON TRACK</v>
      </c>
    </row>
    <row r="87" spans="1:29" ht="15" customHeight="1" x14ac:dyDescent="0.3">
      <c r="A87" s="15">
        <v>84</v>
      </c>
      <c r="B87" s="62" t="s">
        <v>110</v>
      </c>
      <c r="C87" s="65">
        <v>1</v>
      </c>
      <c r="D87" s="65" t="s">
        <v>128</v>
      </c>
      <c r="E87" s="15" t="s">
        <v>20</v>
      </c>
      <c r="F87" s="15" t="s">
        <v>19</v>
      </c>
      <c r="G87" s="4" t="str">
        <v>Pengadaan - Kons. MK | SPPP</v>
      </c>
      <c r="H87" s="4">
        <v>12</v>
      </c>
      <c r="I87" s="26">
        <f t="shared" si="6"/>
        <v>12</v>
      </c>
      <c r="J87" s="27" t="str">
        <f t="shared" si="6"/>
        <v/>
      </c>
      <c r="K87" s="27" t="str">
        <f t="shared" si="6"/>
        <v/>
      </c>
      <c r="L87" s="27" t="str">
        <f t="shared" si="6"/>
        <v/>
      </c>
      <c r="M87" s="27" t="str">
        <f t="shared" si="6"/>
        <v/>
      </c>
      <c r="N87" s="27" t="str">
        <f t="shared" si="6"/>
        <v/>
      </c>
      <c r="O87" s="27" t="str">
        <f t="shared" si="6"/>
        <v/>
      </c>
      <c r="P87" s="27" t="str">
        <f t="shared" si="6"/>
        <v/>
      </c>
      <c r="Q87" s="27" t="str">
        <f t="shared" si="6"/>
        <v/>
      </c>
      <c r="R87" s="27" t="str">
        <f t="shared" si="6"/>
        <v/>
      </c>
      <c r="S87" s="27" t="str">
        <f t="shared" si="6"/>
        <v/>
      </c>
      <c r="T87" s="28" t="str">
        <f t="shared" si="6"/>
        <v/>
      </c>
      <c r="U87" s="22" t="b">
        <v>1</v>
      </c>
      <c r="V87" s="23">
        <v>46023</v>
      </c>
      <c r="W87" s="23">
        <v>46023</v>
      </c>
      <c r="X87" s="65" t="s">
        <v>37</v>
      </c>
      <c r="Y87" s="32">
        <v>46090</v>
      </c>
      <c r="Z87" s="4" t="str">
        <f ca="1"/>
        <v>ON TRACK</v>
      </c>
      <c r="AC87" s="49" t="s">
        <v>111</v>
      </c>
    </row>
    <row r="88" spans="1:29" ht="15" customHeight="1" x14ac:dyDescent="0.3">
      <c r="A88" s="15">
        <v>85</v>
      </c>
      <c r="B88" s="62" t="s">
        <v>110</v>
      </c>
      <c r="C88" s="65">
        <v>1</v>
      </c>
      <c r="D88" s="65" t="s">
        <v>128</v>
      </c>
      <c r="E88" s="15" t="s">
        <v>21</v>
      </c>
      <c r="F88" s="15" t="s">
        <v>19</v>
      </c>
      <c r="G88" s="4" t="str">
        <v>Pengadaan - Kontraktor | SPPP</v>
      </c>
      <c r="H88" s="4">
        <v>8</v>
      </c>
      <c r="I88" s="26" t="str">
        <f t="shared" si="6"/>
        <v/>
      </c>
      <c r="J88" s="27" t="str">
        <f t="shared" si="6"/>
        <v/>
      </c>
      <c r="K88" s="27" t="str">
        <f t="shared" si="6"/>
        <v/>
      </c>
      <c r="L88" s="27" t="str">
        <f t="shared" si="6"/>
        <v/>
      </c>
      <c r="M88" s="27" t="str">
        <f t="shared" si="6"/>
        <v/>
      </c>
      <c r="N88" s="27">
        <f t="shared" si="6"/>
        <v>8</v>
      </c>
      <c r="O88" s="27" t="str">
        <f t="shared" si="6"/>
        <v/>
      </c>
      <c r="P88" s="27" t="str">
        <f t="shared" si="6"/>
        <v/>
      </c>
      <c r="Q88" s="27" t="str">
        <f t="shared" si="6"/>
        <v/>
      </c>
      <c r="R88" s="27" t="str">
        <f t="shared" si="6"/>
        <v/>
      </c>
      <c r="S88" s="27" t="str">
        <f t="shared" si="6"/>
        <v/>
      </c>
      <c r="T88" s="28" t="str">
        <f t="shared" si="6"/>
        <v/>
      </c>
      <c r="U88" s="22" t="b">
        <v>1</v>
      </c>
      <c r="V88" s="23">
        <v>46174</v>
      </c>
      <c r="W88" s="23">
        <v>46174</v>
      </c>
      <c r="X88" s="65" t="s">
        <v>37</v>
      </c>
      <c r="Y88" s="32">
        <v>46237</v>
      </c>
      <c r="Z88" s="4" t="str">
        <f ca="1"/>
        <v>ON TRACK</v>
      </c>
    </row>
    <row r="89" spans="1:29" ht="15" customHeight="1" x14ac:dyDescent="0.3">
      <c r="A89" s="15">
        <v>86</v>
      </c>
      <c r="B89" s="62" t="s">
        <v>110</v>
      </c>
      <c r="C89" s="65">
        <v>1</v>
      </c>
      <c r="D89" s="65" t="s">
        <v>128</v>
      </c>
      <c r="E89" s="15" t="s">
        <v>22</v>
      </c>
      <c r="F89" s="18" t="s">
        <v>30</v>
      </c>
      <c r="G89" s="4" t="str">
        <v>Implementasi | Pembangunan Fisik</v>
      </c>
      <c r="H89" s="4">
        <v>1</v>
      </c>
      <c r="I89" s="26" t="str">
        <f t="shared" si="6"/>
        <v/>
      </c>
      <c r="J89" s="27" t="str">
        <f t="shared" si="6"/>
        <v/>
      </c>
      <c r="K89" s="27" t="str">
        <f t="shared" si="6"/>
        <v/>
      </c>
      <c r="L89" s="27" t="str">
        <f t="shared" si="6"/>
        <v/>
      </c>
      <c r="M89" s="27" t="str">
        <f t="shared" si="6"/>
        <v/>
      </c>
      <c r="N89" s="27">
        <f t="shared" si="6"/>
        <v>1</v>
      </c>
      <c r="O89" s="27">
        <f t="shared" si="6"/>
        <v>1</v>
      </c>
      <c r="P89" s="27">
        <f t="shared" si="6"/>
        <v>1</v>
      </c>
      <c r="Q89" s="27">
        <f t="shared" si="6"/>
        <v>1</v>
      </c>
      <c r="R89" s="27" t="str">
        <f t="shared" si="6"/>
        <v/>
      </c>
      <c r="S89" s="27" t="str">
        <f t="shared" si="6"/>
        <v/>
      </c>
      <c r="T89" s="28" t="str">
        <f t="shared" si="6"/>
        <v/>
      </c>
      <c r="U89" s="22" t="b">
        <v>0</v>
      </c>
      <c r="V89" s="23">
        <v>46174</v>
      </c>
      <c r="W89" s="23">
        <v>46266</v>
      </c>
      <c r="X89" s="65" t="s">
        <v>37</v>
      </c>
      <c r="Z89" s="4" t="str">
        <f ca="1"/>
        <v>BEHIND</v>
      </c>
    </row>
    <row r="90" spans="1:29" ht="15" customHeight="1" x14ac:dyDescent="0.3">
      <c r="A90" s="15">
        <v>87</v>
      </c>
      <c r="B90" s="62" t="s">
        <v>112</v>
      </c>
      <c r="C90" s="65">
        <v>1</v>
      </c>
      <c r="D90" s="65" t="s">
        <v>128</v>
      </c>
      <c r="E90" s="15" t="s">
        <v>13</v>
      </c>
      <c r="F90" s="15" t="s">
        <v>15</v>
      </c>
      <c r="G90" s="4" t="str">
        <v>Pra Pembangunan dan Pra Pengadaan | RPP</v>
      </c>
      <c r="H90" s="4">
        <v>4</v>
      </c>
      <c r="I90" s="19" t="str">
        <f t="shared" si="6"/>
        <v/>
      </c>
      <c r="J90" s="20">
        <f t="shared" si="6"/>
        <v>4</v>
      </c>
      <c r="K90" s="20" t="str">
        <f t="shared" si="6"/>
        <v/>
      </c>
      <c r="L90" s="20" t="str">
        <f t="shared" si="6"/>
        <v/>
      </c>
      <c r="M90" s="20" t="str">
        <f t="shared" si="6"/>
        <v/>
      </c>
      <c r="N90" s="20" t="str">
        <f t="shared" si="6"/>
        <v/>
      </c>
      <c r="O90" s="20" t="str">
        <f t="shared" si="6"/>
        <v/>
      </c>
      <c r="P90" s="20" t="str">
        <f t="shared" si="6"/>
        <v/>
      </c>
      <c r="Q90" s="20" t="str">
        <f t="shared" si="6"/>
        <v/>
      </c>
      <c r="R90" s="20" t="str">
        <f t="shared" si="6"/>
        <v/>
      </c>
      <c r="S90" s="20" t="str">
        <f t="shared" si="6"/>
        <v/>
      </c>
      <c r="T90" s="21" t="str">
        <f t="shared" si="6"/>
        <v/>
      </c>
      <c r="U90" s="22" t="b">
        <v>1</v>
      </c>
      <c r="V90" s="23">
        <v>46054</v>
      </c>
      <c r="W90" s="23">
        <v>46054</v>
      </c>
      <c r="X90" s="65" t="s">
        <v>37</v>
      </c>
      <c r="Y90" s="32">
        <v>46062</v>
      </c>
      <c r="Z90" s="4" t="str">
        <f ca="1"/>
        <v>ON TRACK</v>
      </c>
    </row>
    <row r="91" spans="1:29" ht="15" customHeight="1" x14ac:dyDescent="0.3">
      <c r="A91" s="15">
        <v>88</v>
      </c>
      <c r="B91" s="62" t="s">
        <v>112</v>
      </c>
      <c r="C91" s="65">
        <v>1</v>
      </c>
      <c r="D91" s="65" t="s">
        <v>128</v>
      </c>
      <c r="E91" s="15" t="s">
        <v>13</v>
      </c>
      <c r="F91" s="15" t="s">
        <v>16</v>
      </c>
      <c r="G91" s="4" t="str">
        <v>Pra Pembangunan dan Pra Pengadaan | RBTek</v>
      </c>
      <c r="H91" s="4">
        <v>6</v>
      </c>
      <c r="I91" s="26"/>
      <c r="J91" s="27">
        <f t="shared" si="6"/>
        <v>6</v>
      </c>
      <c r="K91" s="27"/>
      <c r="L91" s="27"/>
      <c r="M91" s="27"/>
      <c r="N91" s="27"/>
      <c r="O91" s="27"/>
      <c r="P91" s="27"/>
      <c r="Q91" s="27"/>
      <c r="R91" s="27"/>
      <c r="S91" s="27"/>
      <c r="T91" s="28"/>
      <c r="U91" s="22" t="b">
        <v>1</v>
      </c>
      <c r="V91" s="23">
        <v>46054</v>
      </c>
      <c r="W91" s="23">
        <v>46054</v>
      </c>
      <c r="X91" s="65" t="s">
        <v>37</v>
      </c>
      <c r="Y91" s="32">
        <v>46080</v>
      </c>
      <c r="Z91" s="4" t="str">
        <f ca="1"/>
        <v>ON TRACK</v>
      </c>
    </row>
    <row r="92" spans="1:29" ht="15" customHeight="1" x14ac:dyDescent="0.3">
      <c r="A92" s="15">
        <v>89</v>
      </c>
      <c r="B92" s="62" t="s">
        <v>112</v>
      </c>
      <c r="C92" s="65">
        <v>1</v>
      </c>
      <c r="D92" s="65" t="s">
        <v>128</v>
      </c>
      <c r="E92" s="15" t="s">
        <v>21</v>
      </c>
      <c r="F92" s="15" t="s">
        <v>18</v>
      </c>
      <c r="G92" s="4" t="str">
        <v>Pengadaan - Kontraktor | KAK</v>
      </c>
      <c r="H92" s="4">
        <v>7</v>
      </c>
      <c r="I92" s="26" t="str">
        <f t="shared" si="6"/>
        <v/>
      </c>
      <c r="J92" s="27">
        <f t="shared" si="6"/>
        <v>7</v>
      </c>
      <c r="K92" s="27">
        <f t="shared" si="6"/>
        <v>7</v>
      </c>
      <c r="L92" s="27">
        <f t="shared" si="6"/>
        <v>7</v>
      </c>
      <c r="M92" s="27">
        <f t="shared" si="6"/>
        <v>7</v>
      </c>
      <c r="N92" s="27" t="str">
        <f t="shared" si="6"/>
        <v/>
      </c>
      <c r="O92" s="27" t="str">
        <f t="shared" si="6"/>
        <v/>
      </c>
      <c r="P92" s="27" t="str">
        <f t="shared" si="6"/>
        <v/>
      </c>
      <c r="Q92" s="27" t="str">
        <f t="shared" si="6"/>
        <v/>
      </c>
      <c r="R92" s="27" t="str">
        <f t="shared" si="6"/>
        <v/>
      </c>
      <c r="S92" s="27" t="str">
        <f t="shared" si="6"/>
        <v/>
      </c>
      <c r="T92" s="28" t="str">
        <f t="shared" si="6"/>
        <v/>
      </c>
      <c r="U92" s="22" t="b">
        <v>1</v>
      </c>
      <c r="V92" s="23">
        <v>46054</v>
      </c>
      <c r="W92" s="23">
        <v>46143</v>
      </c>
      <c r="X92" s="65" t="s">
        <v>37</v>
      </c>
      <c r="Y92" s="32">
        <v>46097</v>
      </c>
      <c r="Z92" s="4" t="str">
        <f ca="1"/>
        <v>ON TRACK</v>
      </c>
    </row>
    <row r="93" spans="1:29" ht="15" customHeight="1" x14ac:dyDescent="0.3">
      <c r="A93" s="15">
        <v>90</v>
      </c>
      <c r="B93" s="62" t="s">
        <v>112</v>
      </c>
      <c r="C93" s="65">
        <v>1</v>
      </c>
      <c r="D93" s="65" t="s">
        <v>128</v>
      </c>
      <c r="E93" s="15" t="s">
        <v>17</v>
      </c>
      <c r="F93" s="15" t="s">
        <v>19</v>
      </c>
      <c r="G93" s="4" t="str">
        <v>Pengadaan - Kons. Perancang | SPPP</v>
      </c>
      <c r="H93" s="4">
        <v>10</v>
      </c>
      <c r="I93" s="26">
        <f t="shared" si="6"/>
        <v>10</v>
      </c>
      <c r="J93" s="27" t="str">
        <f t="shared" si="6"/>
        <v/>
      </c>
      <c r="K93" s="27" t="str">
        <f t="shared" si="6"/>
        <v/>
      </c>
      <c r="L93" s="27" t="str">
        <f t="shared" si="6"/>
        <v/>
      </c>
      <c r="M93" s="27" t="str">
        <f t="shared" si="6"/>
        <v/>
      </c>
      <c r="N93" s="27" t="str">
        <f t="shared" si="6"/>
        <v/>
      </c>
      <c r="O93" s="27" t="str">
        <f t="shared" si="6"/>
        <v/>
      </c>
      <c r="P93" s="27" t="str">
        <f t="shared" si="6"/>
        <v/>
      </c>
      <c r="Q93" s="27" t="str">
        <f t="shared" si="6"/>
        <v/>
      </c>
      <c r="R93" s="27" t="str">
        <f t="shared" si="6"/>
        <v/>
      </c>
      <c r="S93" s="27" t="str">
        <f t="shared" si="6"/>
        <v/>
      </c>
      <c r="T93" s="28" t="str">
        <f t="shared" si="6"/>
        <v/>
      </c>
      <c r="U93" s="22" t="b">
        <v>1</v>
      </c>
      <c r="V93" s="23">
        <v>46023</v>
      </c>
      <c r="W93" s="23">
        <v>46023</v>
      </c>
      <c r="X93" s="65" t="s">
        <v>37</v>
      </c>
      <c r="Y93" s="32">
        <v>46028</v>
      </c>
      <c r="Z93" s="4" t="str">
        <f ca="1"/>
        <v>ON TRACK</v>
      </c>
      <c r="AB93" s="4" t="s">
        <v>113</v>
      </c>
    </row>
    <row r="94" spans="1:29" ht="15" customHeight="1" x14ac:dyDescent="0.3">
      <c r="A94" s="15">
        <v>91</v>
      </c>
      <c r="B94" s="62" t="s">
        <v>112</v>
      </c>
      <c r="C94" s="65">
        <v>1</v>
      </c>
      <c r="D94" s="65" t="s">
        <v>128</v>
      </c>
      <c r="E94" s="15" t="s">
        <v>20</v>
      </c>
      <c r="F94" s="15" t="s">
        <v>19</v>
      </c>
      <c r="G94" s="4" t="str">
        <v>Pengadaan - Kons. MK | SPPP</v>
      </c>
      <c r="H94" s="4">
        <v>12</v>
      </c>
      <c r="I94" s="26">
        <f t="shared" si="6"/>
        <v>12</v>
      </c>
      <c r="J94" s="27" t="str">
        <f t="shared" si="6"/>
        <v/>
      </c>
      <c r="K94" s="27" t="str">
        <f t="shared" si="6"/>
        <v/>
      </c>
      <c r="L94" s="27" t="str">
        <f t="shared" si="6"/>
        <v/>
      </c>
      <c r="M94" s="27" t="str">
        <f t="shared" si="6"/>
        <v/>
      </c>
      <c r="N94" s="27" t="str">
        <f t="shared" si="6"/>
        <v/>
      </c>
      <c r="O94" s="27" t="str">
        <f t="shared" si="6"/>
        <v/>
      </c>
      <c r="P94" s="27" t="str">
        <f t="shared" si="6"/>
        <v/>
      </c>
      <c r="Q94" s="27" t="str">
        <f t="shared" si="6"/>
        <v/>
      </c>
      <c r="R94" s="27" t="str">
        <f t="shared" si="6"/>
        <v/>
      </c>
      <c r="S94" s="27" t="str">
        <f t="shared" si="6"/>
        <v/>
      </c>
      <c r="T94" s="28" t="str">
        <f t="shared" si="6"/>
        <v/>
      </c>
      <c r="U94" s="22" t="b">
        <v>1</v>
      </c>
      <c r="V94" s="23">
        <v>46023</v>
      </c>
      <c r="W94" s="23">
        <v>46023</v>
      </c>
      <c r="X94" s="65" t="s">
        <v>37</v>
      </c>
      <c r="Y94" s="32">
        <v>46155</v>
      </c>
      <c r="Z94" s="4" t="str">
        <f ca="1"/>
        <v>ON TRACK</v>
      </c>
      <c r="AB94" s="4" t="s">
        <v>114</v>
      </c>
      <c r="AC94" s="4" t="s">
        <v>115</v>
      </c>
    </row>
    <row r="95" spans="1:29" ht="15" customHeight="1" x14ac:dyDescent="0.3">
      <c r="A95" s="15">
        <v>92</v>
      </c>
      <c r="B95" s="62" t="s">
        <v>112</v>
      </c>
      <c r="C95" s="65">
        <v>1</v>
      </c>
      <c r="D95" s="65" t="s">
        <v>128</v>
      </c>
      <c r="E95" s="15" t="s">
        <v>21</v>
      </c>
      <c r="F95" s="15" t="s">
        <v>19</v>
      </c>
      <c r="G95" s="4" t="str">
        <v>Pengadaan - Kontraktor | SPPP</v>
      </c>
      <c r="H95" s="4">
        <v>8</v>
      </c>
      <c r="I95" s="26" t="str">
        <f t="shared" si="6"/>
        <v/>
      </c>
      <c r="J95" s="27" t="str">
        <f t="shared" si="6"/>
        <v/>
      </c>
      <c r="K95" s="27" t="str">
        <f t="shared" si="6"/>
        <v/>
      </c>
      <c r="L95" s="27" t="str">
        <f t="shared" si="6"/>
        <v/>
      </c>
      <c r="M95" s="27" t="str">
        <f t="shared" si="6"/>
        <v/>
      </c>
      <c r="N95" s="27">
        <f t="shared" si="6"/>
        <v>8</v>
      </c>
      <c r="O95" s="27" t="str">
        <f t="shared" si="6"/>
        <v/>
      </c>
      <c r="P95" s="27" t="str">
        <f t="shared" si="6"/>
        <v/>
      </c>
      <c r="Q95" s="27" t="str">
        <f t="shared" si="6"/>
        <v/>
      </c>
      <c r="R95" s="27" t="str">
        <f t="shared" si="6"/>
        <v/>
      </c>
      <c r="S95" s="27" t="str">
        <f t="shared" si="6"/>
        <v/>
      </c>
      <c r="T95" s="28" t="str">
        <f t="shared" si="6"/>
        <v/>
      </c>
      <c r="U95" s="22" t="b">
        <v>1</v>
      </c>
      <c r="V95" s="23">
        <v>46174</v>
      </c>
      <c r="W95" s="23">
        <v>46174</v>
      </c>
      <c r="X95" s="65" t="s">
        <v>37</v>
      </c>
      <c r="Y95" s="32">
        <v>46218</v>
      </c>
      <c r="Z95" s="4" t="str">
        <f ca="1"/>
        <v>ON TRACK</v>
      </c>
      <c r="AB95" s="4" t="s">
        <v>116</v>
      </c>
      <c r="AC95" s="36" t="s">
        <v>117</v>
      </c>
    </row>
    <row r="96" spans="1:29" ht="15" customHeight="1" x14ac:dyDescent="0.3">
      <c r="A96" s="15">
        <v>93</v>
      </c>
      <c r="B96" s="62" t="s">
        <v>112</v>
      </c>
      <c r="C96" s="65">
        <v>1</v>
      </c>
      <c r="D96" s="65" t="s">
        <v>128</v>
      </c>
      <c r="E96" s="15" t="s">
        <v>22</v>
      </c>
      <c r="F96" s="18" t="s">
        <v>30</v>
      </c>
      <c r="G96" s="4" t="str">
        <v>Implementasi | Pembangunan Fisik</v>
      </c>
      <c r="H96" s="4">
        <v>1</v>
      </c>
      <c r="I96" s="26" t="str">
        <f t="shared" si="6"/>
        <v/>
      </c>
      <c r="J96" s="27" t="str">
        <f t="shared" si="6"/>
        <v/>
      </c>
      <c r="K96" s="27" t="str">
        <f t="shared" si="6"/>
        <v/>
      </c>
      <c r="L96" s="27" t="str">
        <f t="shared" si="6"/>
        <v/>
      </c>
      <c r="M96" s="27" t="str">
        <f t="shared" si="6"/>
        <v/>
      </c>
      <c r="N96" s="27">
        <f t="shared" si="6"/>
        <v>1</v>
      </c>
      <c r="O96" s="27">
        <f t="shared" si="6"/>
        <v>1</v>
      </c>
      <c r="P96" s="27">
        <f t="shared" si="6"/>
        <v>1</v>
      </c>
      <c r="Q96" s="27">
        <f t="shared" si="6"/>
        <v>1</v>
      </c>
      <c r="R96" s="27" t="str">
        <f t="shared" si="6"/>
        <v/>
      </c>
      <c r="S96" s="27" t="str">
        <f t="shared" si="6"/>
        <v/>
      </c>
      <c r="T96" s="28" t="str">
        <f t="shared" si="6"/>
        <v/>
      </c>
      <c r="U96" s="22" t="b">
        <v>1</v>
      </c>
      <c r="V96" s="23">
        <v>46174</v>
      </c>
      <c r="W96" s="23">
        <v>46266</v>
      </c>
      <c r="X96" s="65" t="s">
        <v>37</v>
      </c>
      <c r="Z96" s="4" t="str">
        <f ca="1"/>
        <v>ON TRACK</v>
      </c>
    </row>
    <row r="97" spans="1:29" ht="15" customHeight="1" x14ac:dyDescent="0.3">
      <c r="A97" s="15">
        <v>94</v>
      </c>
      <c r="B97" s="62" t="s">
        <v>118</v>
      </c>
      <c r="C97" s="65">
        <v>1</v>
      </c>
      <c r="D97" s="65" t="s">
        <v>127</v>
      </c>
      <c r="E97" s="15" t="s">
        <v>13</v>
      </c>
      <c r="F97" s="15" t="s">
        <v>16</v>
      </c>
      <c r="G97" s="4" t="str">
        <v>Pra Pembangunan dan Pra Pengadaan | RBTek</v>
      </c>
      <c r="H97" s="4">
        <v>6</v>
      </c>
      <c r="I97" s="19" t="str">
        <f t="shared" si="6"/>
        <v/>
      </c>
      <c r="J97" s="20" t="str">
        <f t="shared" si="6"/>
        <v/>
      </c>
      <c r="K97" s="20">
        <f t="shared" si="6"/>
        <v>6</v>
      </c>
      <c r="L97" s="20" t="str">
        <f t="shared" si="6"/>
        <v/>
      </c>
      <c r="M97" s="20" t="str">
        <f t="shared" si="6"/>
        <v/>
      </c>
      <c r="N97" s="20" t="str">
        <f t="shared" si="6"/>
        <v/>
      </c>
      <c r="O97" s="20" t="str">
        <f t="shared" si="6"/>
        <v/>
      </c>
      <c r="P97" s="20" t="str">
        <f t="shared" si="6"/>
        <v/>
      </c>
      <c r="Q97" s="20" t="str">
        <f t="shared" si="6"/>
        <v/>
      </c>
      <c r="R97" s="20" t="str">
        <f t="shared" si="6"/>
        <v/>
      </c>
      <c r="S97" s="20" t="str">
        <f t="shared" si="6"/>
        <v/>
      </c>
      <c r="T97" s="21" t="str">
        <f t="shared" si="6"/>
        <v/>
      </c>
      <c r="U97" s="22" t="b">
        <v>1</v>
      </c>
      <c r="V97" s="23">
        <v>46082</v>
      </c>
      <c r="W97" s="23">
        <v>46082</v>
      </c>
      <c r="X97" s="65" t="s">
        <v>37</v>
      </c>
      <c r="Y97" s="32">
        <v>46080</v>
      </c>
      <c r="Z97" s="4" t="str">
        <f ca="1"/>
        <v>ON TRACK</v>
      </c>
    </row>
    <row r="98" spans="1:29" ht="15" customHeight="1" x14ac:dyDescent="0.3">
      <c r="A98" s="15">
        <v>95</v>
      </c>
      <c r="B98" s="62" t="s">
        <v>118</v>
      </c>
      <c r="C98" s="65">
        <v>1</v>
      </c>
      <c r="D98" s="65" t="s">
        <v>127</v>
      </c>
      <c r="E98" s="15" t="s">
        <v>21</v>
      </c>
      <c r="F98" s="15" t="s">
        <v>18</v>
      </c>
      <c r="G98" s="4" t="str">
        <v>Pengadaan - Kontraktor | KAK</v>
      </c>
      <c r="H98" s="4">
        <v>7</v>
      </c>
      <c r="I98" s="27" t="str">
        <f t="shared" si="6"/>
        <v/>
      </c>
      <c r="J98" s="27" t="str">
        <f t="shared" si="6"/>
        <v/>
      </c>
      <c r="K98" s="27" t="str">
        <f t="shared" si="6"/>
        <v/>
      </c>
      <c r="L98" s="27" t="str">
        <f t="shared" si="6"/>
        <v/>
      </c>
      <c r="M98" s="27">
        <f t="shared" si="6"/>
        <v>7</v>
      </c>
      <c r="N98" s="27" t="str">
        <f t="shared" si="6"/>
        <v/>
      </c>
      <c r="O98" s="27" t="str">
        <f t="shared" si="6"/>
        <v/>
      </c>
      <c r="P98" s="27" t="str">
        <f t="shared" si="6"/>
        <v/>
      </c>
      <c r="Q98" s="27" t="str">
        <f t="shared" si="6"/>
        <v/>
      </c>
      <c r="R98" s="27" t="str">
        <f t="shared" si="6"/>
        <v/>
      </c>
      <c r="S98" s="27" t="str">
        <f t="shared" si="6"/>
        <v/>
      </c>
      <c r="T98" s="28" t="str">
        <f t="shared" si="6"/>
        <v/>
      </c>
      <c r="U98" s="22" t="b">
        <v>1</v>
      </c>
      <c r="V98" s="23">
        <v>46143</v>
      </c>
      <c r="W98" s="23">
        <v>46143</v>
      </c>
      <c r="X98" s="65" t="s">
        <v>37</v>
      </c>
      <c r="Y98" s="32">
        <v>46146</v>
      </c>
      <c r="Z98" s="4" t="str">
        <f ca="1"/>
        <v>ON TRACK</v>
      </c>
    </row>
    <row r="99" spans="1:29" ht="15" customHeight="1" x14ac:dyDescent="0.3">
      <c r="A99" s="15">
        <v>96</v>
      </c>
      <c r="B99" s="62" t="s">
        <v>118</v>
      </c>
      <c r="C99" s="65">
        <v>1</v>
      </c>
      <c r="D99" s="65" t="s">
        <v>127</v>
      </c>
      <c r="E99" s="15" t="s">
        <v>21</v>
      </c>
      <c r="F99" s="15" t="s">
        <v>19</v>
      </c>
      <c r="G99" s="4" t="str">
        <v>Pengadaan - Kontraktor | SPPP</v>
      </c>
      <c r="H99" s="4">
        <v>8</v>
      </c>
      <c r="I99" s="27">
        <f t="shared" si="6"/>
        <v>8</v>
      </c>
      <c r="J99" s="27">
        <f t="shared" si="6"/>
        <v>8</v>
      </c>
      <c r="K99" s="27">
        <f t="shared" si="6"/>
        <v>8</v>
      </c>
      <c r="L99" s="27" t="str">
        <f t="shared" si="6"/>
        <v/>
      </c>
      <c r="M99" s="27" t="str">
        <f t="shared" si="6"/>
        <v/>
      </c>
      <c r="N99" s="27" t="str">
        <f t="shared" si="6"/>
        <v/>
      </c>
      <c r="O99" s="27" t="str">
        <f t="shared" si="6"/>
        <v/>
      </c>
      <c r="P99" s="27" t="str">
        <f t="shared" si="6"/>
        <v/>
      </c>
      <c r="Q99" s="27" t="str">
        <f t="shared" si="6"/>
        <v/>
      </c>
      <c r="R99" s="27" t="str">
        <f t="shared" si="6"/>
        <v/>
      </c>
      <c r="S99" s="27" t="str">
        <f t="shared" si="6"/>
        <v/>
      </c>
      <c r="T99" s="28" t="str">
        <f t="shared" si="6"/>
        <v/>
      </c>
      <c r="U99" s="22" t="b">
        <v>1</v>
      </c>
      <c r="V99" s="23">
        <v>46023</v>
      </c>
      <c r="W99" s="23">
        <v>46082</v>
      </c>
      <c r="X99" s="65" t="s">
        <v>37</v>
      </c>
      <c r="Y99" s="32">
        <v>46239</v>
      </c>
      <c r="Z99" s="4" t="str">
        <f ca="1"/>
        <v>ON TRACK</v>
      </c>
    </row>
    <row r="100" spans="1:29" ht="15" customHeight="1" x14ac:dyDescent="0.3">
      <c r="A100" s="15">
        <v>97</v>
      </c>
      <c r="B100" s="62" t="s">
        <v>118</v>
      </c>
      <c r="C100" s="65">
        <v>1</v>
      </c>
      <c r="D100" s="65" t="s">
        <v>127</v>
      </c>
      <c r="E100" s="15" t="s">
        <v>22</v>
      </c>
      <c r="F100" s="18" t="s">
        <v>30</v>
      </c>
      <c r="G100" s="4" t="str">
        <v>Implementasi | Pembangunan Fisik</v>
      </c>
      <c r="H100" s="4">
        <v>1</v>
      </c>
      <c r="I100" s="26" t="str">
        <f t="shared" ref="I100:T115" si="7">IF(AND(I$3 &gt;= $V100, I$3 &lt;= $W100), $H100, "")</f>
        <v/>
      </c>
      <c r="J100" s="27" t="str">
        <f t="shared" si="7"/>
        <v/>
      </c>
      <c r="K100" s="27" t="str">
        <f t="shared" si="7"/>
        <v/>
      </c>
      <c r="L100" s="27">
        <f t="shared" si="7"/>
        <v>1</v>
      </c>
      <c r="M100" s="27">
        <f t="shared" si="7"/>
        <v>1</v>
      </c>
      <c r="N100" s="27">
        <f t="shared" si="7"/>
        <v>1</v>
      </c>
      <c r="O100" s="27">
        <f t="shared" si="7"/>
        <v>1</v>
      </c>
      <c r="P100" s="27" t="str">
        <f t="shared" si="7"/>
        <v/>
      </c>
      <c r="Q100" s="27" t="str">
        <f t="shared" si="7"/>
        <v/>
      </c>
      <c r="R100" s="27" t="str">
        <f t="shared" si="7"/>
        <v/>
      </c>
      <c r="S100" s="27" t="str">
        <f t="shared" si="7"/>
        <v/>
      </c>
      <c r="T100" s="28" t="str">
        <f t="shared" si="7"/>
        <v/>
      </c>
      <c r="U100" s="22" t="b">
        <v>0</v>
      </c>
      <c r="V100" s="23">
        <v>46113</v>
      </c>
      <c r="W100" s="23">
        <v>46204</v>
      </c>
      <c r="X100" s="65" t="s">
        <v>37</v>
      </c>
      <c r="Z100" s="4" t="str">
        <f ca="1"/>
        <v>BEHIND</v>
      </c>
    </row>
    <row r="101" spans="1:29" ht="15" customHeight="1" x14ac:dyDescent="0.3">
      <c r="A101" s="15">
        <v>98</v>
      </c>
      <c r="B101" s="62" t="s">
        <v>119</v>
      </c>
      <c r="C101" s="65">
        <v>1</v>
      </c>
      <c r="D101" s="65" t="s">
        <v>128</v>
      </c>
      <c r="E101" s="15" t="s">
        <v>13</v>
      </c>
      <c r="F101" s="15" t="s">
        <v>15</v>
      </c>
      <c r="G101" s="4" t="str">
        <v>Pra Pembangunan dan Pra Pengadaan | RPP</v>
      </c>
      <c r="H101" s="4">
        <v>4</v>
      </c>
      <c r="I101" s="19" t="str">
        <f t="shared" si="7"/>
        <v/>
      </c>
      <c r="J101" s="20">
        <f t="shared" si="7"/>
        <v>4</v>
      </c>
      <c r="K101" s="20" t="str">
        <f t="shared" si="7"/>
        <v/>
      </c>
      <c r="L101" s="20" t="str">
        <f t="shared" si="7"/>
        <v/>
      </c>
      <c r="M101" s="20" t="str">
        <f t="shared" si="7"/>
        <v/>
      </c>
      <c r="N101" s="20" t="str">
        <f t="shared" si="7"/>
        <v/>
      </c>
      <c r="O101" s="20" t="str">
        <f t="shared" si="7"/>
        <v/>
      </c>
      <c r="P101" s="20" t="str">
        <f t="shared" si="7"/>
        <v/>
      </c>
      <c r="Q101" s="20" t="str">
        <f t="shared" si="7"/>
        <v/>
      </c>
      <c r="R101" s="20" t="str">
        <f t="shared" si="7"/>
        <v/>
      </c>
      <c r="S101" s="20" t="str">
        <f t="shared" si="7"/>
        <v/>
      </c>
      <c r="T101" s="21" t="str">
        <f t="shared" si="7"/>
        <v/>
      </c>
      <c r="U101" s="22" t="b">
        <v>1</v>
      </c>
      <c r="V101" s="23">
        <v>46054</v>
      </c>
      <c r="W101" s="23">
        <v>46054</v>
      </c>
      <c r="X101" s="65" t="s">
        <v>37</v>
      </c>
      <c r="Y101" s="32">
        <v>46062</v>
      </c>
      <c r="Z101" s="4" t="str">
        <f ca="1"/>
        <v>ON TRACK</v>
      </c>
    </row>
    <row r="102" spans="1:29" ht="15" customHeight="1" x14ac:dyDescent="0.3">
      <c r="A102" s="15">
        <v>99</v>
      </c>
      <c r="B102" s="62" t="s">
        <v>119</v>
      </c>
      <c r="C102" s="65">
        <v>1</v>
      </c>
      <c r="D102" s="65" t="s">
        <v>128</v>
      </c>
      <c r="E102" s="15" t="s">
        <v>13</v>
      </c>
      <c r="F102" s="15" t="s">
        <v>16</v>
      </c>
      <c r="G102" s="4" t="str">
        <v>Pra Pembangunan dan Pra Pengadaan | RBTek</v>
      </c>
      <c r="H102" s="4">
        <v>6</v>
      </c>
      <c r="I102" s="26"/>
      <c r="J102" s="27">
        <f t="shared" si="7"/>
        <v>6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8"/>
      <c r="U102" s="22" t="b">
        <v>1</v>
      </c>
      <c r="V102" s="23">
        <v>46054</v>
      </c>
      <c r="W102" s="23">
        <v>46054</v>
      </c>
      <c r="X102" s="65" t="s">
        <v>37</v>
      </c>
      <c r="Y102" s="32">
        <v>46080</v>
      </c>
      <c r="Z102" s="4" t="str">
        <f ca="1"/>
        <v>ON TRACK</v>
      </c>
    </row>
    <row r="103" spans="1:29" ht="15" customHeight="1" x14ac:dyDescent="0.3">
      <c r="A103" s="15">
        <v>100</v>
      </c>
      <c r="B103" s="62" t="s">
        <v>119</v>
      </c>
      <c r="C103" s="65">
        <v>1</v>
      </c>
      <c r="D103" s="65" t="s">
        <v>128</v>
      </c>
      <c r="E103" s="15" t="s">
        <v>21</v>
      </c>
      <c r="F103" s="15" t="s">
        <v>18</v>
      </c>
      <c r="G103" s="4" t="str">
        <v>Pengadaan - Kontraktor | KAK</v>
      </c>
      <c r="H103" s="4">
        <v>7</v>
      </c>
      <c r="I103" s="26" t="str">
        <f t="shared" si="7"/>
        <v/>
      </c>
      <c r="J103" s="27">
        <f t="shared" si="7"/>
        <v>7</v>
      </c>
      <c r="K103" s="27">
        <f t="shared" si="7"/>
        <v>7</v>
      </c>
      <c r="L103" s="27">
        <f t="shared" si="7"/>
        <v>7</v>
      </c>
      <c r="M103" s="27">
        <f t="shared" si="7"/>
        <v>7</v>
      </c>
      <c r="N103" s="27" t="str">
        <f t="shared" si="7"/>
        <v/>
      </c>
      <c r="O103" s="27" t="str">
        <f t="shared" si="7"/>
        <v/>
      </c>
      <c r="P103" s="27" t="str">
        <f t="shared" si="7"/>
        <v/>
      </c>
      <c r="Q103" s="27" t="str">
        <f t="shared" si="7"/>
        <v/>
      </c>
      <c r="R103" s="27" t="str">
        <f t="shared" si="7"/>
        <v/>
      </c>
      <c r="S103" s="27" t="str">
        <f t="shared" si="7"/>
        <v/>
      </c>
      <c r="T103" s="28" t="str">
        <f t="shared" si="7"/>
        <v/>
      </c>
      <c r="U103" s="22" t="b">
        <v>1</v>
      </c>
      <c r="V103" s="23">
        <v>46054</v>
      </c>
      <c r="W103" s="23">
        <v>46143</v>
      </c>
      <c r="X103" s="65" t="s">
        <v>37</v>
      </c>
      <c r="Y103" s="32">
        <v>46097</v>
      </c>
      <c r="Z103" s="4" t="str">
        <f ca="1"/>
        <v>ON TRACK</v>
      </c>
    </row>
    <row r="104" spans="1:29" ht="15" customHeight="1" x14ac:dyDescent="0.3">
      <c r="A104" s="15">
        <v>101</v>
      </c>
      <c r="B104" s="62" t="s">
        <v>119</v>
      </c>
      <c r="C104" s="65">
        <v>1</v>
      </c>
      <c r="D104" s="65" t="s">
        <v>128</v>
      </c>
      <c r="E104" s="15" t="s">
        <v>17</v>
      </c>
      <c r="F104" s="15" t="s">
        <v>19</v>
      </c>
      <c r="G104" s="4" t="str">
        <v>Pengadaan - Kons. Perancang | SPPP</v>
      </c>
      <c r="H104" s="4">
        <v>10</v>
      </c>
      <c r="I104" s="26">
        <f t="shared" si="7"/>
        <v>10</v>
      </c>
      <c r="J104" s="27" t="str">
        <f t="shared" si="7"/>
        <v/>
      </c>
      <c r="K104" s="27" t="str">
        <f t="shared" si="7"/>
        <v/>
      </c>
      <c r="L104" s="27" t="str">
        <f t="shared" si="7"/>
        <v/>
      </c>
      <c r="M104" s="27" t="str">
        <f t="shared" si="7"/>
        <v/>
      </c>
      <c r="N104" s="27" t="str">
        <f t="shared" si="7"/>
        <v/>
      </c>
      <c r="O104" s="27" t="str">
        <f t="shared" si="7"/>
        <v/>
      </c>
      <c r="P104" s="27" t="str">
        <f t="shared" si="7"/>
        <v/>
      </c>
      <c r="Q104" s="27" t="str">
        <f t="shared" si="7"/>
        <v/>
      </c>
      <c r="R104" s="27" t="str">
        <f t="shared" si="7"/>
        <v/>
      </c>
      <c r="S104" s="27" t="str">
        <f t="shared" si="7"/>
        <v/>
      </c>
      <c r="T104" s="28" t="str">
        <f t="shared" si="7"/>
        <v/>
      </c>
      <c r="U104" s="22" t="b">
        <v>1</v>
      </c>
      <c r="V104" s="23">
        <v>46023</v>
      </c>
      <c r="W104" s="23">
        <v>46023</v>
      </c>
      <c r="X104" s="65" t="s">
        <v>37</v>
      </c>
      <c r="Y104" s="32">
        <v>46028</v>
      </c>
      <c r="Z104" s="4" t="str">
        <f ca="1"/>
        <v>ON TRACK</v>
      </c>
      <c r="AB104" s="4" t="s">
        <v>120</v>
      </c>
    </row>
    <row r="105" spans="1:29" ht="15" customHeight="1" x14ac:dyDescent="0.3">
      <c r="A105" s="15">
        <v>102</v>
      </c>
      <c r="B105" s="62" t="s">
        <v>119</v>
      </c>
      <c r="C105" s="65">
        <v>1</v>
      </c>
      <c r="D105" s="65" t="s">
        <v>128</v>
      </c>
      <c r="E105" s="15" t="s">
        <v>20</v>
      </c>
      <c r="F105" s="15" t="s">
        <v>19</v>
      </c>
      <c r="G105" s="4" t="str">
        <v>Pengadaan - Kons. MK | SPPP</v>
      </c>
      <c r="H105" s="4">
        <v>12</v>
      </c>
      <c r="I105" s="26">
        <f t="shared" si="7"/>
        <v>12</v>
      </c>
      <c r="J105" s="27" t="str">
        <f t="shared" si="7"/>
        <v/>
      </c>
      <c r="K105" s="27" t="str">
        <f t="shared" si="7"/>
        <v/>
      </c>
      <c r="L105" s="27" t="str">
        <f t="shared" si="7"/>
        <v/>
      </c>
      <c r="M105" s="27" t="str">
        <f t="shared" si="7"/>
        <v/>
      </c>
      <c r="N105" s="27" t="str">
        <f t="shared" si="7"/>
        <v/>
      </c>
      <c r="O105" s="27" t="str">
        <f t="shared" si="7"/>
        <v/>
      </c>
      <c r="P105" s="27" t="str">
        <f t="shared" si="7"/>
        <v/>
      </c>
      <c r="Q105" s="27" t="str">
        <f t="shared" si="7"/>
        <v/>
      </c>
      <c r="R105" s="27" t="str">
        <f t="shared" si="7"/>
        <v/>
      </c>
      <c r="S105" s="27" t="str">
        <f t="shared" si="7"/>
        <v/>
      </c>
      <c r="T105" s="28" t="str">
        <f t="shared" si="7"/>
        <v/>
      </c>
      <c r="U105" s="22" t="b">
        <v>1</v>
      </c>
      <c r="V105" s="23">
        <v>46023</v>
      </c>
      <c r="W105" s="23">
        <v>46023</v>
      </c>
      <c r="X105" s="65" t="s">
        <v>37</v>
      </c>
      <c r="Y105" s="32">
        <v>46155</v>
      </c>
      <c r="Z105" s="4" t="str">
        <f ca="1"/>
        <v>ON TRACK</v>
      </c>
      <c r="AB105" s="4" t="s">
        <v>114</v>
      </c>
      <c r="AC105" s="4" t="s">
        <v>115</v>
      </c>
    </row>
    <row r="106" spans="1:29" ht="15" customHeight="1" x14ac:dyDescent="0.3">
      <c r="A106" s="15">
        <v>103</v>
      </c>
      <c r="B106" s="62" t="s">
        <v>119</v>
      </c>
      <c r="C106" s="65">
        <v>1</v>
      </c>
      <c r="D106" s="65" t="s">
        <v>128</v>
      </c>
      <c r="E106" s="15" t="s">
        <v>21</v>
      </c>
      <c r="F106" s="15" t="s">
        <v>19</v>
      </c>
      <c r="G106" s="4" t="str">
        <v>Pengadaan - Kontraktor | SPPP</v>
      </c>
      <c r="H106" s="4">
        <v>8</v>
      </c>
      <c r="I106" s="26" t="str">
        <f t="shared" si="7"/>
        <v/>
      </c>
      <c r="J106" s="27" t="str">
        <f t="shared" si="7"/>
        <v/>
      </c>
      <c r="K106" s="27" t="str">
        <f t="shared" si="7"/>
        <v/>
      </c>
      <c r="L106" s="27" t="str">
        <f t="shared" si="7"/>
        <v/>
      </c>
      <c r="M106" s="27" t="str">
        <f t="shared" si="7"/>
        <v/>
      </c>
      <c r="N106" s="27">
        <f t="shared" si="7"/>
        <v>8</v>
      </c>
      <c r="O106" s="27" t="str">
        <f t="shared" si="7"/>
        <v/>
      </c>
      <c r="P106" s="27" t="str">
        <f t="shared" si="7"/>
        <v/>
      </c>
      <c r="Q106" s="27" t="str">
        <f t="shared" si="7"/>
        <v/>
      </c>
      <c r="R106" s="27" t="str">
        <f t="shared" si="7"/>
        <v/>
      </c>
      <c r="S106" s="27" t="str">
        <f t="shared" si="7"/>
        <v/>
      </c>
      <c r="T106" s="28" t="str">
        <f t="shared" si="7"/>
        <v/>
      </c>
      <c r="U106" s="22" t="b">
        <v>1</v>
      </c>
      <c r="V106" s="23">
        <v>46174</v>
      </c>
      <c r="W106" s="23">
        <v>46174</v>
      </c>
      <c r="X106" s="65" t="s">
        <v>37</v>
      </c>
      <c r="Y106" s="32">
        <v>46218</v>
      </c>
      <c r="Z106" s="4" t="str">
        <f ca="1"/>
        <v>ON TRACK</v>
      </c>
      <c r="AB106" s="4" t="s">
        <v>116</v>
      </c>
      <c r="AC106" s="36" t="s">
        <v>117</v>
      </c>
    </row>
    <row r="107" spans="1:29" ht="15" customHeight="1" x14ac:dyDescent="0.3">
      <c r="A107" s="15">
        <v>104</v>
      </c>
      <c r="B107" s="62" t="s">
        <v>119</v>
      </c>
      <c r="C107" s="65">
        <v>1</v>
      </c>
      <c r="D107" s="65" t="s">
        <v>128</v>
      </c>
      <c r="E107" s="15" t="s">
        <v>22</v>
      </c>
      <c r="F107" s="18" t="s">
        <v>30</v>
      </c>
      <c r="G107" s="4" t="str">
        <v>Implementasi | Pembangunan Fisik</v>
      </c>
      <c r="H107" s="4">
        <v>1</v>
      </c>
      <c r="I107" s="46" t="str">
        <f t="shared" si="7"/>
        <v/>
      </c>
      <c r="J107" s="47" t="str">
        <f t="shared" si="7"/>
        <v/>
      </c>
      <c r="K107" s="47" t="str">
        <f t="shared" si="7"/>
        <v/>
      </c>
      <c r="L107" s="47" t="str">
        <f t="shared" si="7"/>
        <v/>
      </c>
      <c r="M107" s="47" t="str">
        <f t="shared" si="7"/>
        <v/>
      </c>
      <c r="N107" s="47">
        <f t="shared" si="7"/>
        <v>1</v>
      </c>
      <c r="O107" s="47">
        <f t="shared" si="7"/>
        <v>1</v>
      </c>
      <c r="P107" s="47">
        <f t="shared" si="7"/>
        <v>1</v>
      </c>
      <c r="Q107" s="47">
        <f t="shared" si="7"/>
        <v>1</v>
      </c>
      <c r="R107" s="47" t="str">
        <f t="shared" si="7"/>
        <v/>
      </c>
      <c r="S107" s="47" t="str">
        <f t="shared" si="7"/>
        <v/>
      </c>
      <c r="T107" s="48" t="str">
        <f t="shared" si="7"/>
        <v/>
      </c>
      <c r="U107" s="22" t="b">
        <v>1</v>
      </c>
      <c r="V107" s="23">
        <v>46174</v>
      </c>
      <c r="W107" s="23">
        <v>46266</v>
      </c>
      <c r="X107" s="65" t="s">
        <v>37</v>
      </c>
      <c r="Z107" s="4" t="str">
        <f ca="1"/>
        <v>ON TRACK</v>
      </c>
    </row>
    <row r="108" spans="1:29" ht="15" customHeight="1" x14ac:dyDescent="0.3">
      <c r="A108" s="15">
        <v>105</v>
      </c>
      <c r="B108" s="62" t="s">
        <v>121</v>
      </c>
      <c r="C108" s="65">
        <v>1</v>
      </c>
      <c r="D108" s="65" t="s">
        <v>128</v>
      </c>
      <c r="E108" s="15" t="s">
        <v>13</v>
      </c>
      <c r="F108" s="15" t="s">
        <v>15</v>
      </c>
      <c r="G108" s="4" t="str">
        <v>Pra Pembangunan dan Pra Pengadaan | RPP</v>
      </c>
      <c r="H108" s="4">
        <v>4</v>
      </c>
      <c r="I108" s="19" t="str">
        <f t="shared" si="7"/>
        <v/>
      </c>
      <c r="J108" s="20">
        <f t="shared" si="7"/>
        <v>4</v>
      </c>
      <c r="K108" s="20" t="str">
        <f t="shared" si="7"/>
        <v/>
      </c>
      <c r="L108" s="20" t="str">
        <f t="shared" si="7"/>
        <v/>
      </c>
      <c r="M108" s="20" t="str">
        <f t="shared" si="7"/>
        <v/>
      </c>
      <c r="N108" s="20" t="str">
        <f t="shared" si="7"/>
        <v/>
      </c>
      <c r="O108" s="20" t="str">
        <f t="shared" si="7"/>
        <v/>
      </c>
      <c r="P108" s="20" t="str">
        <f t="shared" si="7"/>
        <v/>
      </c>
      <c r="Q108" s="20" t="str">
        <f t="shared" si="7"/>
        <v/>
      </c>
      <c r="R108" s="20" t="str">
        <f t="shared" si="7"/>
        <v/>
      </c>
      <c r="S108" s="20" t="str">
        <f t="shared" si="7"/>
        <v/>
      </c>
      <c r="T108" s="21" t="str">
        <f t="shared" si="7"/>
        <v/>
      </c>
      <c r="U108" s="22" t="b">
        <v>1</v>
      </c>
      <c r="V108" s="23">
        <v>46054</v>
      </c>
      <c r="W108" s="23">
        <v>46054</v>
      </c>
      <c r="X108" s="65" t="s">
        <v>37</v>
      </c>
      <c r="Y108" s="32">
        <v>46062</v>
      </c>
      <c r="Z108" s="4" t="str">
        <f ca="1"/>
        <v>ON TRACK</v>
      </c>
    </row>
    <row r="109" spans="1:29" ht="15" customHeight="1" x14ac:dyDescent="0.3">
      <c r="A109" s="15">
        <v>106</v>
      </c>
      <c r="B109" s="62" t="s">
        <v>121</v>
      </c>
      <c r="C109" s="65">
        <v>1</v>
      </c>
      <c r="D109" s="65" t="s">
        <v>128</v>
      </c>
      <c r="E109" s="15" t="s">
        <v>13</v>
      </c>
      <c r="F109" s="15" t="s">
        <v>16</v>
      </c>
      <c r="G109" s="4" t="str">
        <v>Pra Pembangunan dan Pra Pengadaan | RBTek</v>
      </c>
      <c r="H109" s="4">
        <v>6</v>
      </c>
      <c r="I109" s="26"/>
      <c r="J109" s="27">
        <f t="shared" si="7"/>
        <v>6</v>
      </c>
      <c r="K109" s="27"/>
      <c r="L109" s="27"/>
      <c r="M109" s="27"/>
      <c r="N109" s="27"/>
      <c r="O109" s="27"/>
      <c r="P109" s="27"/>
      <c r="Q109" s="27"/>
      <c r="R109" s="27"/>
      <c r="S109" s="27"/>
      <c r="T109" s="28"/>
      <c r="U109" s="22" t="b">
        <v>1</v>
      </c>
      <c r="V109" s="23">
        <v>46054</v>
      </c>
      <c r="W109" s="23">
        <v>46054</v>
      </c>
      <c r="X109" s="65" t="s">
        <v>37</v>
      </c>
      <c r="Y109" s="32">
        <v>46080</v>
      </c>
      <c r="Z109" s="4" t="str">
        <f ca="1"/>
        <v>ON TRACK</v>
      </c>
    </row>
    <row r="110" spans="1:29" ht="15" customHeight="1" x14ac:dyDescent="0.3">
      <c r="A110" s="15">
        <v>107</v>
      </c>
      <c r="B110" s="62" t="s">
        <v>121</v>
      </c>
      <c r="C110" s="65">
        <v>1</v>
      </c>
      <c r="D110" s="65" t="s">
        <v>128</v>
      </c>
      <c r="E110" s="15" t="s">
        <v>21</v>
      </c>
      <c r="F110" s="15" t="s">
        <v>18</v>
      </c>
      <c r="G110" s="4" t="str">
        <v>Pengadaan - Kontraktor | KAK</v>
      </c>
      <c r="H110" s="4">
        <v>7</v>
      </c>
      <c r="I110" s="26" t="str">
        <f t="shared" si="7"/>
        <v/>
      </c>
      <c r="J110" s="27">
        <f t="shared" si="7"/>
        <v>7</v>
      </c>
      <c r="K110" s="27">
        <f t="shared" si="7"/>
        <v>7</v>
      </c>
      <c r="L110" s="27">
        <f t="shared" si="7"/>
        <v>7</v>
      </c>
      <c r="M110" s="27">
        <f t="shared" si="7"/>
        <v>7</v>
      </c>
      <c r="N110" s="27" t="str">
        <f t="shared" si="7"/>
        <v/>
      </c>
      <c r="O110" s="27" t="str">
        <f t="shared" si="7"/>
        <v/>
      </c>
      <c r="P110" s="27" t="str">
        <f t="shared" si="7"/>
        <v/>
      </c>
      <c r="Q110" s="27" t="str">
        <f t="shared" si="7"/>
        <v/>
      </c>
      <c r="R110" s="27" t="str">
        <f t="shared" si="7"/>
        <v/>
      </c>
      <c r="S110" s="27" t="str">
        <f t="shared" si="7"/>
        <v/>
      </c>
      <c r="T110" s="28" t="str">
        <f t="shared" si="7"/>
        <v/>
      </c>
      <c r="U110" s="22" t="b">
        <v>1</v>
      </c>
      <c r="V110" s="23">
        <v>46054</v>
      </c>
      <c r="W110" s="23">
        <v>46143</v>
      </c>
      <c r="X110" s="65" t="s">
        <v>37</v>
      </c>
      <c r="Y110" s="32">
        <v>46097</v>
      </c>
      <c r="Z110" s="4" t="str">
        <f ca="1"/>
        <v>ON TRACK</v>
      </c>
    </row>
    <row r="111" spans="1:29" ht="15" customHeight="1" x14ac:dyDescent="0.3">
      <c r="A111" s="15">
        <v>108</v>
      </c>
      <c r="B111" s="62" t="s">
        <v>121</v>
      </c>
      <c r="C111" s="65">
        <v>1</v>
      </c>
      <c r="D111" s="65" t="s">
        <v>128</v>
      </c>
      <c r="E111" s="15" t="s">
        <v>17</v>
      </c>
      <c r="F111" s="15" t="s">
        <v>19</v>
      </c>
      <c r="G111" s="4" t="str">
        <v>Pengadaan - Kons. Perancang | SPPP</v>
      </c>
      <c r="H111" s="4">
        <v>10</v>
      </c>
      <c r="I111" s="26">
        <f t="shared" si="7"/>
        <v>10</v>
      </c>
      <c r="J111" s="27" t="str">
        <f t="shared" si="7"/>
        <v/>
      </c>
      <c r="K111" s="27" t="str">
        <f t="shared" si="7"/>
        <v/>
      </c>
      <c r="L111" s="27" t="str">
        <f t="shared" si="7"/>
        <v/>
      </c>
      <c r="M111" s="27" t="str">
        <f t="shared" si="7"/>
        <v/>
      </c>
      <c r="N111" s="27" t="str">
        <f t="shared" si="7"/>
        <v/>
      </c>
      <c r="O111" s="27" t="str">
        <f t="shared" si="7"/>
        <v/>
      </c>
      <c r="P111" s="27" t="str">
        <f t="shared" si="7"/>
        <v/>
      </c>
      <c r="Q111" s="27" t="str">
        <f t="shared" si="7"/>
        <v/>
      </c>
      <c r="R111" s="27" t="str">
        <f t="shared" si="7"/>
        <v/>
      </c>
      <c r="S111" s="27" t="str">
        <f t="shared" si="7"/>
        <v/>
      </c>
      <c r="T111" s="28" t="str">
        <f t="shared" si="7"/>
        <v/>
      </c>
      <c r="U111" s="22" t="b">
        <v>1</v>
      </c>
      <c r="V111" s="23">
        <v>46023</v>
      </c>
      <c r="W111" s="23">
        <v>46023</v>
      </c>
      <c r="X111" s="65" t="s">
        <v>37</v>
      </c>
      <c r="Y111" s="32">
        <v>46028</v>
      </c>
      <c r="Z111" s="4" t="str">
        <f ca="1"/>
        <v>ON TRACK</v>
      </c>
    </row>
    <row r="112" spans="1:29" ht="15" customHeight="1" x14ac:dyDescent="0.3">
      <c r="A112" s="15">
        <v>109</v>
      </c>
      <c r="B112" s="62" t="s">
        <v>121</v>
      </c>
      <c r="C112" s="65">
        <v>1</v>
      </c>
      <c r="D112" s="65" t="s">
        <v>128</v>
      </c>
      <c r="E112" s="15" t="s">
        <v>20</v>
      </c>
      <c r="F112" s="15" t="s">
        <v>19</v>
      </c>
      <c r="G112" s="4" t="str">
        <v>Pengadaan - Kons. MK | SPPP</v>
      </c>
      <c r="H112" s="4">
        <v>12</v>
      </c>
      <c r="I112" s="26">
        <f t="shared" si="7"/>
        <v>12</v>
      </c>
      <c r="J112" s="27" t="str">
        <f t="shared" si="7"/>
        <v/>
      </c>
      <c r="K112" s="27" t="str">
        <f t="shared" si="7"/>
        <v/>
      </c>
      <c r="L112" s="27" t="str">
        <f t="shared" si="7"/>
        <v/>
      </c>
      <c r="M112" s="27" t="str">
        <f t="shared" si="7"/>
        <v/>
      </c>
      <c r="N112" s="27" t="str">
        <f t="shared" si="7"/>
        <v/>
      </c>
      <c r="O112" s="27" t="str">
        <f t="shared" si="7"/>
        <v/>
      </c>
      <c r="P112" s="27" t="str">
        <f t="shared" si="7"/>
        <v/>
      </c>
      <c r="Q112" s="27" t="str">
        <f t="shared" si="7"/>
        <v/>
      </c>
      <c r="R112" s="27" t="str">
        <f t="shared" si="7"/>
        <v/>
      </c>
      <c r="S112" s="27" t="str">
        <f t="shared" si="7"/>
        <v/>
      </c>
      <c r="T112" s="28" t="str">
        <f t="shared" si="7"/>
        <v/>
      </c>
      <c r="U112" s="22" t="b">
        <v>1</v>
      </c>
      <c r="V112" s="23">
        <v>46023</v>
      </c>
      <c r="W112" s="23">
        <v>46023</v>
      </c>
      <c r="X112" s="65" t="s">
        <v>37</v>
      </c>
      <c r="Y112" s="32">
        <v>46155</v>
      </c>
      <c r="Z112" s="4" t="str">
        <f ca="1"/>
        <v>ON TRACK</v>
      </c>
    </row>
    <row r="113" spans="1:29" ht="15" customHeight="1" x14ac:dyDescent="0.3">
      <c r="A113" s="15">
        <v>110</v>
      </c>
      <c r="B113" s="62" t="s">
        <v>121</v>
      </c>
      <c r="C113" s="65">
        <v>1</v>
      </c>
      <c r="D113" s="65" t="s">
        <v>128</v>
      </c>
      <c r="E113" s="15" t="s">
        <v>21</v>
      </c>
      <c r="F113" s="15" t="s">
        <v>19</v>
      </c>
      <c r="G113" s="4" t="str">
        <v>Pengadaan - Kontraktor | SPPP</v>
      </c>
      <c r="H113" s="4">
        <v>8</v>
      </c>
      <c r="I113" s="26" t="str">
        <f t="shared" si="7"/>
        <v/>
      </c>
      <c r="J113" s="27" t="str">
        <f t="shared" si="7"/>
        <v/>
      </c>
      <c r="K113" s="27" t="str">
        <f t="shared" si="7"/>
        <v/>
      </c>
      <c r="L113" s="27" t="str">
        <f t="shared" si="7"/>
        <v/>
      </c>
      <c r="M113" s="27" t="str">
        <f t="shared" si="7"/>
        <v/>
      </c>
      <c r="N113" s="27">
        <f t="shared" si="7"/>
        <v>8</v>
      </c>
      <c r="O113" s="27" t="str">
        <f t="shared" si="7"/>
        <v/>
      </c>
      <c r="P113" s="27" t="str">
        <f t="shared" si="7"/>
        <v/>
      </c>
      <c r="Q113" s="27" t="str">
        <f t="shared" si="7"/>
        <v/>
      </c>
      <c r="R113" s="27" t="str">
        <f t="shared" si="7"/>
        <v/>
      </c>
      <c r="S113" s="27" t="str">
        <f t="shared" si="7"/>
        <v/>
      </c>
      <c r="T113" s="28" t="str">
        <f t="shared" si="7"/>
        <v/>
      </c>
      <c r="U113" s="22" t="b">
        <v>1</v>
      </c>
      <c r="V113" s="23">
        <v>46174</v>
      </c>
      <c r="W113" s="23">
        <v>46174</v>
      </c>
      <c r="X113" s="65" t="s">
        <v>37</v>
      </c>
      <c r="Y113" s="32">
        <v>46218</v>
      </c>
      <c r="Z113" s="4" t="str">
        <f ca="1"/>
        <v>ON TRACK</v>
      </c>
      <c r="AB113" s="4" t="s">
        <v>116</v>
      </c>
      <c r="AC113" s="36" t="s">
        <v>117</v>
      </c>
    </row>
    <row r="114" spans="1:29" ht="15" customHeight="1" x14ac:dyDescent="0.3">
      <c r="A114" s="15">
        <v>111</v>
      </c>
      <c r="B114" s="62" t="s">
        <v>121</v>
      </c>
      <c r="C114" s="65">
        <v>1</v>
      </c>
      <c r="D114" s="65" t="s">
        <v>128</v>
      </c>
      <c r="E114" s="15" t="s">
        <v>22</v>
      </c>
      <c r="F114" s="18" t="s">
        <v>30</v>
      </c>
      <c r="G114" s="4" t="str">
        <v>Implementasi | Pembangunan Fisik</v>
      </c>
      <c r="H114" s="4">
        <v>1</v>
      </c>
      <c r="I114" s="46" t="str">
        <f t="shared" si="7"/>
        <v/>
      </c>
      <c r="J114" s="47" t="str">
        <f t="shared" si="7"/>
        <v/>
      </c>
      <c r="K114" s="47" t="str">
        <f t="shared" si="7"/>
        <v/>
      </c>
      <c r="L114" s="47" t="str">
        <f t="shared" si="7"/>
        <v/>
      </c>
      <c r="M114" s="47" t="str">
        <f t="shared" si="7"/>
        <v/>
      </c>
      <c r="N114" s="47">
        <f t="shared" si="7"/>
        <v>1</v>
      </c>
      <c r="O114" s="47">
        <f t="shared" si="7"/>
        <v>1</v>
      </c>
      <c r="P114" s="47">
        <f t="shared" si="7"/>
        <v>1</v>
      </c>
      <c r="Q114" s="47">
        <f t="shared" si="7"/>
        <v>1</v>
      </c>
      <c r="R114" s="47" t="str">
        <f t="shared" si="7"/>
        <v/>
      </c>
      <c r="S114" s="47" t="str">
        <f t="shared" si="7"/>
        <v/>
      </c>
      <c r="T114" s="48" t="str">
        <f t="shared" si="7"/>
        <v/>
      </c>
      <c r="U114" s="22" t="b">
        <v>1</v>
      </c>
      <c r="V114" s="23">
        <v>46174</v>
      </c>
      <c r="W114" s="23">
        <v>46266</v>
      </c>
      <c r="X114" s="65" t="s">
        <v>37</v>
      </c>
      <c r="Z114" s="4" t="str">
        <f ca="1"/>
        <v>ON TRACK</v>
      </c>
    </row>
    <row r="115" spans="1:29" ht="15" customHeight="1" x14ac:dyDescent="0.3">
      <c r="A115" s="15">
        <v>112</v>
      </c>
      <c r="B115" s="62" t="s">
        <v>122</v>
      </c>
      <c r="C115" s="65">
        <v>1</v>
      </c>
      <c r="D115" s="65" t="s">
        <v>129</v>
      </c>
      <c r="E115" s="15" t="s">
        <v>13</v>
      </c>
      <c r="F115" s="15" t="s">
        <v>15</v>
      </c>
      <c r="G115" s="4" t="str">
        <v>Pra Pembangunan dan Pra Pengadaan | RPP</v>
      </c>
      <c r="H115" s="4">
        <v>4</v>
      </c>
      <c r="I115" s="26" t="str">
        <f t="shared" si="7"/>
        <v/>
      </c>
      <c r="J115" s="27" t="str">
        <f t="shared" si="7"/>
        <v/>
      </c>
      <c r="K115" s="27" t="str">
        <f t="shared" si="7"/>
        <v/>
      </c>
      <c r="L115" s="27" t="str">
        <f t="shared" si="7"/>
        <v/>
      </c>
      <c r="M115" s="27" t="str">
        <f t="shared" si="7"/>
        <v/>
      </c>
      <c r="N115" s="27" t="str">
        <f t="shared" si="7"/>
        <v/>
      </c>
      <c r="O115" s="27" t="str">
        <f t="shared" si="7"/>
        <v/>
      </c>
      <c r="P115" s="27" t="str">
        <f t="shared" si="7"/>
        <v/>
      </c>
      <c r="Q115" s="27" t="str">
        <f t="shared" si="7"/>
        <v/>
      </c>
      <c r="R115" s="27">
        <f t="shared" si="7"/>
        <v>4</v>
      </c>
      <c r="S115" s="27" t="str">
        <f t="shared" si="7"/>
        <v/>
      </c>
      <c r="T115" s="28" t="str">
        <f t="shared" si="7"/>
        <v/>
      </c>
      <c r="U115" s="22" t="b">
        <v>0</v>
      </c>
      <c r="V115" s="23">
        <v>46296</v>
      </c>
      <c r="W115" s="23">
        <v>46324</v>
      </c>
      <c r="X115" s="65" t="s">
        <v>39</v>
      </c>
      <c r="Z115" s="4" t="str">
        <f ca="1"/>
        <v>NOT STARTED</v>
      </c>
    </row>
    <row r="116" spans="1:29" ht="15" customHeight="1" x14ac:dyDescent="0.3">
      <c r="A116" s="15">
        <v>113</v>
      </c>
      <c r="B116" s="62" t="s">
        <v>122</v>
      </c>
      <c r="C116" s="65">
        <v>1</v>
      </c>
      <c r="D116" s="65" t="s">
        <v>129</v>
      </c>
      <c r="E116" s="15" t="s">
        <v>26</v>
      </c>
      <c r="F116" s="15" t="s">
        <v>18</v>
      </c>
      <c r="G116" s="4" t="str">
        <v>Pengadaan - Lahan | KAK</v>
      </c>
      <c r="H116" s="4">
        <v>13</v>
      </c>
      <c r="I116" s="26" t="str">
        <f t="shared" ref="I116:T129" si="8">IF(AND(I$3 &gt;= $V116, I$3 &lt;= $W116), $H116, "")</f>
        <v/>
      </c>
      <c r="J116" s="27" t="str">
        <f t="shared" si="8"/>
        <v/>
      </c>
      <c r="K116" s="27" t="str">
        <f t="shared" si="8"/>
        <v/>
      </c>
      <c r="L116" s="27" t="str">
        <f t="shared" si="8"/>
        <v/>
      </c>
      <c r="M116" s="27" t="str">
        <f t="shared" si="8"/>
        <v/>
      </c>
      <c r="N116" s="27" t="str">
        <f t="shared" si="8"/>
        <v/>
      </c>
      <c r="O116" s="27" t="str">
        <f t="shared" si="8"/>
        <v/>
      </c>
      <c r="P116" s="27" t="str">
        <f t="shared" si="8"/>
        <v/>
      </c>
      <c r="Q116" s="27" t="str">
        <f t="shared" si="8"/>
        <v/>
      </c>
      <c r="R116" s="27" t="str">
        <f t="shared" si="8"/>
        <v/>
      </c>
      <c r="S116" s="27">
        <f t="shared" si="8"/>
        <v>13</v>
      </c>
      <c r="T116" s="28" t="str">
        <f t="shared" si="8"/>
        <v/>
      </c>
      <c r="U116" s="22" t="b">
        <v>0</v>
      </c>
      <c r="V116" s="23">
        <v>46327</v>
      </c>
      <c r="W116" s="23">
        <v>46327</v>
      </c>
      <c r="X116" s="65" t="s">
        <v>39</v>
      </c>
      <c r="Z116" s="4" t="str">
        <f ca="1"/>
        <v>NOT STARTED</v>
      </c>
    </row>
    <row r="117" spans="1:29" ht="15" customHeight="1" x14ac:dyDescent="0.3">
      <c r="A117" s="15">
        <v>114</v>
      </c>
      <c r="B117" s="62" t="s">
        <v>122</v>
      </c>
      <c r="C117" s="65">
        <v>1</v>
      </c>
      <c r="D117" s="65" t="s">
        <v>129</v>
      </c>
      <c r="E117" s="15" t="s">
        <v>26</v>
      </c>
      <c r="F117" s="15" t="s">
        <v>27</v>
      </c>
      <c r="G117" s="4" t="str">
        <v>Pengadaan - Lahan | AJB</v>
      </c>
      <c r="H117" s="4">
        <v>14</v>
      </c>
      <c r="I117" s="46" t="str">
        <f t="shared" si="8"/>
        <v/>
      </c>
      <c r="J117" s="47" t="str">
        <f t="shared" si="8"/>
        <v/>
      </c>
      <c r="K117" s="47" t="str">
        <f t="shared" si="8"/>
        <v/>
      </c>
      <c r="L117" s="47" t="str">
        <f t="shared" si="8"/>
        <v/>
      </c>
      <c r="M117" s="47" t="str">
        <f t="shared" si="8"/>
        <v/>
      </c>
      <c r="N117" s="47" t="str">
        <f t="shared" si="8"/>
        <v/>
      </c>
      <c r="O117" s="47" t="str">
        <f t="shared" si="8"/>
        <v/>
      </c>
      <c r="P117" s="47" t="str">
        <f t="shared" si="8"/>
        <v/>
      </c>
      <c r="Q117" s="47" t="str">
        <f t="shared" si="8"/>
        <v/>
      </c>
      <c r="R117" s="47" t="str">
        <f t="shared" si="8"/>
        <v/>
      </c>
      <c r="S117" s="47" t="str">
        <f t="shared" si="8"/>
        <v/>
      </c>
      <c r="T117" s="48">
        <f t="shared" si="8"/>
        <v>14</v>
      </c>
      <c r="U117" s="22" t="b">
        <v>0</v>
      </c>
      <c r="V117" s="23">
        <v>46357</v>
      </c>
      <c r="W117" s="23">
        <v>46357</v>
      </c>
      <c r="X117" s="65" t="s">
        <v>39</v>
      </c>
      <c r="Z117" s="4" t="str">
        <f ca="1"/>
        <v>NOT STARTED</v>
      </c>
    </row>
    <row r="118" spans="1:29" x14ac:dyDescent="0.3">
      <c r="A118" s="15">
        <v>115</v>
      </c>
      <c r="B118" s="62" t="s">
        <v>123</v>
      </c>
      <c r="C118" s="65">
        <v>1</v>
      </c>
      <c r="D118" s="65" t="s">
        <v>128</v>
      </c>
      <c r="E118" s="15" t="s">
        <v>13</v>
      </c>
      <c r="F118" s="15" t="s">
        <v>15</v>
      </c>
      <c r="G118" s="4" t="str">
        <v>Pra Pembangunan dan Pra Pengadaan | RPP</v>
      </c>
      <c r="H118" s="4">
        <v>4</v>
      </c>
      <c r="I118" s="26" t="str">
        <f t="shared" si="8"/>
        <v/>
      </c>
      <c r="J118" s="27" t="str">
        <f t="shared" si="8"/>
        <v/>
      </c>
      <c r="K118" s="27" t="str">
        <f t="shared" si="8"/>
        <v/>
      </c>
      <c r="L118" s="27" t="str">
        <f t="shared" si="8"/>
        <v/>
      </c>
      <c r="M118" s="27" t="str">
        <f t="shared" si="8"/>
        <v/>
      </c>
      <c r="N118" s="27">
        <f t="shared" si="8"/>
        <v>4</v>
      </c>
      <c r="O118" s="27" t="str">
        <f t="shared" si="8"/>
        <v/>
      </c>
      <c r="P118" s="27" t="str">
        <f t="shared" si="8"/>
        <v/>
      </c>
      <c r="Q118" s="27" t="str">
        <f t="shared" si="8"/>
        <v/>
      </c>
      <c r="R118" s="27" t="str">
        <f t="shared" si="8"/>
        <v/>
      </c>
      <c r="S118" s="27" t="str">
        <f t="shared" si="8"/>
        <v/>
      </c>
      <c r="T118" s="28" t="str">
        <f t="shared" si="8"/>
        <v/>
      </c>
      <c r="U118" s="22" t="b">
        <v>0</v>
      </c>
      <c r="V118" s="23">
        <v>46174</v>
      </c>
      <c r="W118" s="23">
        <v>46174</v>
      </c>
      <c r="X118" s="65" t="s">
        <v>38</v>
      </c>
      <c r="Y118" s="32">
        <v>46203</v>
      </c>
      <c r="Z118" s="4" t="str">
        <f ca="1"/>
        <v>BEHIND</v>
      </c>
    </row>
    <row r="119" spans="1:29" x14ac:dyDescent="0.3">
      <c r="A119" s="15">
        <v>116</v>
      </c>
      <c r="B119" s="62" t="s">
        <v>123</v>
      </c>
      <c r="C119" s="65">
        <v>1</v>
      </c>
      <c r="D119" s="65" t="s">
        <v>128</v>
      </c>
      <c r="E119" s="15" t="s">
        <v>21</v>
      </c>
      <c r="F119" s="15" t="s">
        <v>18</v>
      </c>
      <c r="G119" s="4" t="str">
        <v>Pengadaan - Kontraktor | KAK</v>
      </c>
      <c r="H119" s="4">
        <v>7</v>
      </c>
      <c r="I119" s="26" t="str">
        <f t="shared" si="8"/>
        <v/>
      </c>
      <c r="J119" s="27" t="str">
        <f t="shared" si="8"/>
        <v/>
      </c>
      <c r="K119" s="27" t="str">
        <f t="shared" si="8"/>
        <v/>
      </c>
      <c r="L119" s="27" t="str">
        <f t="shared" si="8"/>
        <v/>
      </c>
      <c r="M119" s="27" t="str">
        <f t="shared" si="8"/>
        <v/>
      </c>
      <c r="N119" s="27" t="str">
        <f t="shared" si="8"/>
        <v/>
      </c>
      <c r="O119" s="27" t="str">
        <f t="shared" si="8"/>
        <v/>
      </c>
      <c r="P119" s="27" t="str">
        <f t="shared" si="8"/>
        <v/>
      </c>
      <c r="Q119" s="27">
        <f t="shared" si="8"/>
        <v>7</v>
      </c>
      <c r="R119" s="27" t="str">
        <f t="shared" si="8"/>
        <v/>
      </c>
      <c r="S119" s="27" t="str">
        <f t="shared" si="8"/>
        <v/>
      </c>
      <c r="T119" s="27" t="str">
        <f t="shared" si="8"/>
        <v/>
      </c>
      <c r="U119" s="45" t="b">
        <v>0</v>
      </c>
      <c r="V119" s="23">
        <v>46266</v>
      </c>
      <c r="W119" s="23">
        <v>46266</v>
      </c>
      <c r="X119" s="65" t="s">
        <v>38</v>
      </c>
      <c r="Z119" s="4" t="str">
        <f ca="1"/>
        <v>ON TRACK</v>
      </c>
    </row>
    <row r="120" spans="1:29" x14ac:dyDescent="0.3">
      <c r="A120" s="15">
        <v>117</v>
      </c>
      <c r="B120" s="62" t="s">
        <v>123</v>
      </c>
      <c r="C120" s="65">
        <v>1</v>
      </c>
      <c r="D120" s="65" t="s">
        <v>128</v>
      </c>
      <c r="E120" s="15" t="s">
        <v>20</v>
      </c>
      <c r="F120" s="15" t="s">
        <v>19</v>
      </c>
      <c r="G120" s="4" t="str">
        <v>Pengadaan - Kons. MK | SPPP</v>
      </c>
      <c r="H120" s="4">
        <v>12</v>
      </c>
      <c r="I120" s="26"/>
      <c r="J120" s="27" t="str">
        <f t="shared" si="8"/>
        <v/>
      </c>
      <c r="K120" s="27" t="str">
        <f t="shared" si="8"/>
        <v/>
      </c>
      <c r="L120" s="27" t="str">
        <f t="shared" si="8"/>
        <v/>
      </c>
      <c r="M120" s="27" t="str">
        <f t="shared" si="8"/>
        <v/>
      </c>
      <c r="N120" s="27">
        <f t="shared" si="8"/>
        <v>12</v>
      </c>
      <c r="O120" s="27" t="str">
        <f t="shared" si="8"/>
        <v/>
      </c>
      <c r="P120" s="27" t="str">
        <f t="shared" si="8"/>
        <v/>
      </c>
      <c r="Q120" s="27" t="str">
        <f t="shared" si="8"/>
        <v/>
      </c>
      <c r="R120" s="27" t="str">
        <f t="shared" si="8"/>
        <v/>
      </c>
      <c r="S120" s="27" t="str">
        <f t="shared" si="8"/>
        <v/>
      </c>
      <c r="T120" s="27" t="str">
        <f t="shared" si="8"/>
        <v/>
      </c>
      <c r="U120" s="45" t="b">
        <v>0</v>
      </c>
      <c r="V120" s="23">
        <v>46174</v>
      </c>
      <c r="W120" s="23">
        <v>46174</v>
      </c>
      <c r="X120" s="65" t="s">
        <v>38</v>
      </c>
      <c r="Z120" s="4" t="str">
        <f ca="1"/>
        <v>BEHIND</v>
      </c>
    </row>
    <row r="121" spans="1:29" x14ac:dyDescent="0.3">
      <c r="A121" s="15">
        <v>118</v>
      </c>
      <c r="B121" s="62" t="s">
        <v>123</v>
      </c>
      <c r="C121" s="65">
        <v>1</v>
      </c>
      <c r="D121" s="65" t="s">
        <v>128</v>
      </c>
      <c r="E121" s="15" t="s">
        <v>21</v>
      </c>
      <c r="F121" s="15" t="s">
        <v>19</v>
      </c>
      <c r="G121" s="4" t="str">
        <v>Pengadaan - Kontraktor | SPPP</v>
      </c>
      <c r="H121" s="4">
        <v>8</v>
      </c>
      <c r="I121" s="26"/>
      <c r="J121" s="27" t="str">
        <f t="shared" si="8"/>
        <v/>
      </c>
      <c r="K121" s="27" t="str">
        <f t="shared" si="8"/>
        <v/>
      </c>
      <c r="L121" s="27" t="str">
        <f t="shared" si="8"/>
        <v/>
      </c>
      <c r="M121" s="27" t="str">
        <f t="shared" si="8"/>
        <v/>
      </c>
      <c r="N121" s="27" t="str">
        <f t="shared" si="8"/>
        <v/>
      </c>
      <c r="O121" s="27" t="str">
        <f t="shared" si="8"/>
        <v/>
      </c>
      <c r="P121" s="27" t="str">
        <f t="shared" si="8"/>
        <v/>
      </c>
      <c r="Q121" s="27">
        <f t="shared" si="8"/>
        <v>8</v>
      </c>
      <c r="R121" s="27" t="str">
        <f t="shared" si="8"/>
        <v/>
      </c>
      <c r="S121" s="27" t="str">
        <f t="shared" si="8"/>
        <v/>
      </c>
      <c r="T121" s="27" t="str">
        <f t="shared" si="8"/>
        <v/>
      </c>
      <c r="U121" s="45" t="b">
        <v>0</v>
      </c>
      <c r="V121" s="23">
        <v>46266</v>
      </c>
      <c r="W121" s="23">
        <v>46266</v>
      </c>
      <c r="X121" s="65" t="s">
        <v>38</v>
      </c>
      <c r="Z121" s="4" t="str">
        <f ca="1"/>
        <v>ON TRACK</v>
      </c>
    </row>
    <row r="122" spans="1:29" x14ac:dyDescent="0.3">
      <c r="A122" s="15">
        <v>119</v>
      </c>
      <c r="B122" s="62" t="s">
        <v>123</v>
      </c>
      <c r="C122" s="65">
        <v>1</v>
      </c>
      <c r="D122" s="65" t="s">
        <v>128</v>
      </c>
      <c r="E122" s="15" t="s">
        <v>22</v>
      </c>
      <c r="F122" s="18" t="s">
        <v>30</v>
      </c>
      <c r="G122" s="4" t="str">
        <v>Implementasi | Pembangunan Fisik</v>
      </c>
      <c r="H122" s="4">
        <v>1</v>
      </c>
      <c r="I122" s="26" t="str">
        <f t="shared" si="8"/>
        <v/>
      </c>
      <c r="J122" s="27" t="str">
        <f t="shared" si="8"/>
        <v/>
      </c>
      <c r="K122" s="27" t="str">
        <f t="shared" si="8"/>
        <v/>
      </c>
      <c r="L122" s="27" t="str">
        <f t="shared" si="8"/>
        <v/>
      </c>
      <c r="M122" s="27" t="str">
        <f t="shared" si="8"/>
        <v/>
      </c>
      <c r="N122" s="27" t="str">
        <f t="shared" si="8"/>
        <v/>
      </c>
      <c r="O122" s="27" t="str">
        <f t="shared" si="8"/>
        <v/>
      </c>
      <c r="P122" s="27" t="str">
        <f t="shared" si="8"/>
        <v/>
      </c>
      <c r="Q122" s="27">
        <f t="shared" si="8"/>
        <v>1</v>
      </c>
      <c r="R122" s="27">
        <f t="shared" si="8"/>
        <v>1</v>
      </c>
      <c r="S122" s="27">
        <f t="shared" si="8"/>
        <v>1</v>
      </c>
      <c r="T122" s="27">
        <f t="shared" si="8"/>
        <v>1</v>
      </c>
      <c r="U122" s="45" t="b">
        <v>0</v>
      </c>
      <c r="V122" s="23">
        <v>46266</v>
      </c>
      <c r="W122" s="23">
        <v>46357</v>
      </c>
      <c r="X122" s="65" t="s">
        <v>38</v>
      </c>
      <c r="Z122" s="4" t="str">
        <f ca="1"/>
        <v>ON TRACK</v>
      </c>
    </row>
    <row r="123" spans="1:29" x14ac:dyDescent="0.3">
      <c r="A123" s="15">
        <v>120</v>
      </c>
      <c r="B123" s="62" t="s">
        <v>124</v>
      </c>
      <c r="C123" s="65">
        <v>1</v>
      </c>
      <c r="D123" s="65" t="s">
        <v>127</v>
      </c>
      <c r="E123" s="50" t="s">
        <v>13</v>
      </c>
      <c r="F123" s="50" t="s">
        <v>15</v>
      </c>
      <c r="G123" s="4" t="str">
        <v>Pra Pembangunan dan Pra Pengadaan | RPP</v>
      </c>
      <c r="H123" s="4">
        <v>4</v>
      </c>
      <c r="I123" s="19" t="str">
        <f t="shared" si="8"/>
        <v/>
      </c>
      <c r="J123" s="20" t="str">
        <f t="shared" si="8"/>
        <v/>
      </c>
      <c r="K123" s="20" t="str">
        <f t="shared" si="8"/>
        <v/>
      </c>
      <c r="L123" s="20" t="str">
        <f t="shared" si="8"/>
        <v/>
      </c>
      <c r="M123" s="20" t="str">
        <f t="shared" si="8"/>
        <v/>
      </c>
      <c r="N123" s="20">
        <f t="shared" si="8"/>
        <v>4</v>
      </c>
      <c r="O123" s="20" t="str">
        <f t="shared" si="8"/>
        <v/>
      </c>
      <c r="P123" s="20" t="str">
        <f t="shared" si="8"/>
        <v/>
      </c>
      <c r="Q123" s="20" t="str">
        <f t="shared" si="8"/>
        <v/>
      </c>
      <c r="R123" s="20" t="str">
        <f t="shared" si="8"/>
        <v/>
      </c>
      <c r="S123" s="20" t="str">
        <f t="shared" si="8"/>
        <v/>
      </c>
      <c r="T123" s="21" t="str">
        <f t="shared" si="8"/>
        <v/>
      </c>
      <c r="U123" s="22" t="b">
        <v>1</v>
      </c>
      <c r="V123" s="23">
        <v>46174</v>
      </c>
      <c r="W123" s="23">
        <v>46174</v>
      </c>
      <c r="X123" s="65" t="s">
        <v>38</v>
      </c>
      <c r="Y123" s="32">
        <v>46260</v>
      </c>
      <c r="Z123" s="4" t="str">
        <f ca="1"/>
        <v>ON TRACK</v>
      </c>
    </row>
    <row r="124" spans="1:29" x14ac:dyDescent="0.3">
      <c r="A124" s="15">
        <v>121</v>
      </c>
      <c r="B124" s="62" t="s">
        <v>124</v>
      </c>
      <c r="C124" s="65">
        <v>1</v>
      </c>
      <c r="D124" s="65" t="s">
        <v>127</v>
      </c>
      <c r="E124" s="50" t="s">
        <v>13</v>
      </c>
      <c r="F124" s="50" t="s">
        <v>16</v>
      </c>
      <c r="G124" s="4" t="str">
        <v>Pra Pembangunan dan Pra Pengadaan | RBTek</v>
      </c>
      <c r="H124" s="4">
        <v>6</v>
      </c>
      <c r="I124" s="26"/>
      <c r="J124" s="27" t="str">
        <f t="shared" si="8"/>
        <v/>
      </c>
      <c r="K124" s="27" t="str">
        <f t="shared" si="8"/>
        <v/>
      </c>
      <c r="L124" s="27" t="str">
        <f t="shared" si="8"/>
        <v/>
      </c>
      <c r="M124" s="27" t="str">
        <f t="shared" si="8"/>
        <v/>
      </c>
      <c r="N124" s="27">
        <f t="shared" si="8"/>
        <v>6</v>
      </c>
      <c r="O124" s="27" t="str">
        <f t="shared" si="8"/>
        <v/>
      </c>
      <c r="P124" s="27" t="str">
        <f t="shared" si="8"/>
        <v/>
      </c>
      <c r="Q124" s="27" t="str">
        <f t="shared" si="8"/>
        <v/>
      </c>
      <c r="R124" s="27" t="str">
        <f t="shared" si="8"/>
        <v/>
      </c>
      <c r="S124" s="27" t="str">
        <f t="shared" si="8"/>
        <v/>
      </c>
      <c r="T124" s="28"/>
      <c r="U124" s="22" t="b">
        <v>1</v>
      </c>
      <c r="V124" s="23">
        <v>46174</v>
      </c>
      <c r="W124" s="23">
        <v>46174</v>
      </c>
      <c r="X124" s="65" t="s">
        <v>38</v>
      </c>
      <c r="Y124" s="32">
        <v>46261</v>
      </c>
      <c r="Z124" s="4" t="str">
        <f ca="1"/>
        <v>ON TRACK</v>
      </c>
    </row>
    <row r="125" spans="1:29" x14ac:dyDescent="0.3">
      <c r="A125" s="15">
        <v>122</v>
      </c>
      <c r="B125" s="62" t="s">
        <v>124</v>
      </c>
      <c r="C125" s="65">
        <v>1</v>
      </c>
      <c r="D125" s="65" t="s">
        <v>127</v>
      </c>
      <c r="E125" s="50" t="s">
        <v>21</v>
      </c>
      <c r="F125" s="50" t="s">
        <v>18</v>
      </c>
      <c r="G125" s="4" t="str">
        <v>Pengadaan - Kontraktor | KAK</v>
      </c>
      <c r="H125" s="4">
        <v>7</v>
      </c>
      <c r="I125" s="26" t="str">
        <f t="shared" si="8"/>
        <v/>
      </c>
      <c r="J125" s="27" t="str">
        <f t="shared" si="8"/>
        <v/>
      </c>
      <c r="K125" s="27" t="str">
        <f t="shared" si="8"/>
        <v/>
      </c>
      <c r="L125" s="27" t="str">
        <f t="shared" si="8"/>
        <v/>
      </c>
      <c r="M125" s="27" t="str">
        <f t="shared" si="8"/>
        <v/>
      </c>
      <c r="N125" s="27" t="str">
        <f t="shared" si="8"/>
        <v/>
      </c>
      <c r="O125" s="27" t="str">
        <f t="shared" si="8"/>
        <v/>
      </c>
      <c r="P125" s="27" t="str">
        <f t="shared" si="8"/>
        <v/>
      </c>
      <c r="Q125" s="27">
        <f t="shared" si="8"/>
        <v>7</v>
      </c>
      <c r="R125" s="27" t="str">
        <f t="shared" si="8"/>
        <v/>
      </c>
      <c r="S125" s="27" t="str">
        <f t="shared" si="8"/>
        <v/>
      </c>
      <c r="T125" s="28" t="str">
        <f t="shared" si="8"/>
        <v/>
      </c>
      <c r="U125" s="22" t="b">
        <v>1</v>
      </c>
      <c r="V125" s="23">
        <v>46266</v>
      </c>
      <c r="W125" s="23">
        <v>46266</v>
      </c>
      <c r="X125" s="65" t="s">
        <v>38</v>
      </c>
      <c r="Y125" s="32">
        <v>46262</v>
      </c>
      <c r="Z125" s="4" t="str">
        <f ca="1"/>
        <v>ON TRACK</v>
      </c>
    </row>
    <row r="126" spans="1:29" x14ac:dyDescent="0.3">
      <c r="A126" s="15">
        <v>123</v>
      </c>
      <c r="B126" s="62" t="s">
        <v>124</v>
      </c>
      <c r="C126" s="65">
        <v>1</v>
      </c>
      <c r="D126" s="65" t="s">
        <v>127</v>
      </c>
      <c r="E126" s="50" t="s">
        <v>17</v>
      </c>
      <c r="F126" s="50" t="s">
        <v>19</v>
      </c>
      <c r="G126" s="4" t="str">
        <v>Pengadaan - Kons. Perancang | SPPP</v>
      </c>
      <c r="H126" s="4">
        <v>10</v>
      </c>
      <c r="I126" s="26" t="str">
        <f t="shared" si="8"/>
        <v/>
      </c>
      <c r="J126" s="27" t="str">
        <f t="shared" si="8"/>
        <v/>
      </c>
      <c r="K126" s="27" t="str">
        <f t="shared" si="8"/>
        <v/>
      </c>
      <c r="L126" s="27" t="str">
        <f t="shared" si="8"/>
        <v/>
      </c>
      <c r="M126" s="27" t="str">
        <f t="shared" si="8"/>
        <v/>
      </c>
      <c r="N126" s="27">
        <f t="shared" si="8"/>
        <v>10</v>
      </c>
      <c r="O126" s="27" t="str">
        <f t="shared" si="8"/>
        <v/>
      </c>
      <c r="P126" s="27" t="str">
        <f t="shared" si="8"/>
        <v/>
      </c>
      <c r="Q126" s="27" t="str">
        <f t="shared" si="8"/>
        <v/>
      </c>
      <c r="R126" s="27" t="str">
        <f t="shared" si="8"/>
        <v/>
      </c>
      <c r="S126" s="27" t="str">
        <f t="shared" si="8"/>
        <v/>
      </c>
      <c r="T126" s="28" t="str">
        <f t="shared" si="8"/>
        <v/>
      </c>
      <c r="U126" s="22" t="b">
        <v>1</v>
      </c>
      <c r="V126" s="23">
        <v>46174</v>
      </c>
      <c r="W126" s="23">
        <v>46174</v>
      </c>
      <c r="X126" s="65" t="s">
        <v>38</v>
      </c>
      <c r="Y126" s="32">
        <v>46160</v>
      </c>
      <c r="Z126" s="4" t="str">
        <f ca="1"/>
        <v>ON TRACK</v>
      </c>
      <c r="AB126" s="4" t="s">
        <v>125</v>
      </c>
    </row>
    <row r="127" spans="1:29" x14ac:dyDescent="0.3">
      <c r="A127" s="15">
        <v>124</v>
      </c>
      <c r="B127" s="62" t="s">
        <v>124</v>
      </c>
      <c r="C127" s="65">
        <v>1</v>
      </c>
      <c r="D127" s="65" t="s">
        <v>127</v>
      </c>
      <c r="E127" s="50" t="s">
        <v>20</v>
      </c>
      <c r="F127" s="50" t="s">
        <v>19</v>
      </c>
      <c r="G127" s="4" t="str">
        <v>Pengadaan - Kons. MK | SPPP</v>
      </c>
      <c r="H127" s="4">
        <v>12</v>
      </c>
      <c r="I127" s="26" t="str">
        <f t="shared" si="8"/>
        <v/>
      </c>
      <c r="J127" s="27" t="str">
        <f t="shared" si="8"/>
        <v/>
      </c>
      <c r="K127" s="27" t="str">
        <f t="shared" si="8"/>
        <v/>
      </c>
      <c r="L127" s="27" t="str">
        <f t="shared" si="8"/>
        <v/>
      </c>
      <c r="M127" s="27" t="str">
        <f t="shared" si="8"/>
        <v/>
      </c>
      <c r="N127" s="27" t="str">
        <f t="shared" si="8"/>
        <v/>
      </c>
      <c r="O127" s="27" t="str">
        <f t="shared" si="8"/>
        <v/>
      </c>
      <c r="P127" s="27" t="str">
        <f t="shared" si="8"/>
        <v/>
      </c>
      <c r="Q127" s="27">
        <f t="shared" si="8"/>
        <v>12</v>
      </c>
      <c r="R127" s="27" t="str">
        <f t="shared" si="8"/>
        <v/>
      </c>
      <c r="S127" s="27" t="str">
        <f t="shared" si="8"/>
        <v/>
      </c>
      <c r="T127" s="27" t="str">
        <f t="shared" si="8"/>
        <v/>
      </c>
      <c r="U127" s="45" t="b">
        <v>1</v>
      </c>
      <c r="V127" s="23">
        <v>46266</v>
      </c>
      <c r="W127" s="23">
        <v>46266</v>
      </c>
      <c r="X127" s="65" t="s">
        <v>38</v>
      </c>
      <c r="Y127" s="32">
        <v>46232</v>
      </c>
      <c r="Z127" s="4" t="str">
        <f ca="1"/>
        <v>ON TRACK</v>
      </c>
    </row>
    <row r="128" spans="1:29" x14ac:dyDescent="0.3">
      <c r="A128" s="15">
        <v>125</v>
      </c>
      <c r="B128" s="62" t="s">
        <v>124</v>
      </c>
      <c r="C128" s="65">
        <v>1</v>
      </c>
      <c r="D128" s="65" t="s">
        <v>127</v>
      </c>
      <c r="E128" s="50" t="s">
        <v>21</v>
      </c>
      <c r="F128" s="50" t="s">
        <v>19</v>
      </c>
      <c r="G128" s="4" t="str">
        <v>Pengadaan - Kontraktor | SPPP</v>
      </c>
      <c r="H128" s="4">
        <v>8</v>
      </c>
      <c r="I128" s="26" t="str">
        <f>IF(AND(I$3 &gt;= $V128, I$3 &lt;= $W128), $H128, "")</f>
        <v/>
      </c>
      <c r="J128" s="27" t="str">
        <f>IF(AND(J$3 &gt;= $V128, J$3 &lt;= $W128), $H128, "")</f>
        <v/>
      </c>
      <c r="K128" s="27" t="str">
        <f t="shared" si="8"/>
        <v/>
      </c>
      <c r="L128" s="27" t="str">
        <f t="shared" si="8"/>
        <v/>
      </c>
      <c r="M128" s="27" t="str">
        <f t="shared" si="8"/>
        <v/>
      </c>
      <c r="N128" s="27" t="str">
        <f t="shared" si="8"/>
        <v/>
      </c>
      <c r="O128" s="27" t="str">
        <f t="shared" si="8"/>
        <v/>
      </c>
      <c r="P128" s="27" t="str">
        <f t="shared" si="8"/>
        <v/>
      </c>
      <c r="Q128" s="27">
        <f t="shared" si="8"/>
        <v>8</v>
      </c>
      <c r="R128" s="27" t="str">
        <f t="shared" si="8"/>
        <v/>
      </c>
      <c r="S128" s="27" t="str">
        <f t="shared" si="8"/>
        <v/>
      </c>
      <c r="T128" s="27" t="str">
        <f t="shared" si="8"/>
        <v/>
      </c>
      <c r="U128" s="45" t="b">
        <v>0</v>
      </c>
      <c r="V128" s="23">
        <v>46266</v>
      </c>
      <c r="W128" s="23">
        <v>46266</v>
      </c>
      <c r="X128" s="65" t="s">
        <v>38</v>
      </c>
      <c r="Z128" s="4" t="str">
        <f ca="1"/>
        <v>ON TRACK</v>
      </c>
    </row>
    <row r="129" spans="1:26" x14ac:dyDescent="0.3">
      <c r="A129" s="15">
        <v>126</v>
      </c>
      <c r="B129" s="62" t="s">
        <v>124</v>
      </c>
      <c r="C129" s="65">
        <v>1</v>
      </c>
      <c r="D129" s="65" t="s">
        <v>127</v>
      </c>
      <c r="E129" s="15" t="s">
        <v>22</v>
      </c>
      <c r="F129" s="51" t="s">
        <v>30</v>
      </c>
      <c r="G129" s="4" t="str">
        <v>Implementasi | Pembangunan Fisik</v>
      </c>
      <c r="H129" s="4">
        <v>1</v>
      </c>
      <c r="I129" s="46" t="str">
        <f>IF(AND(I$3 &gt;= $V129, I$3 &lt;= $W129),#REF!, "")</f>
        <v/>
      </c>
      <c r="J129" s="47" t="str">
        <f>IF(AND(J$3 &gt;= $V129, J$3 &lt;= $W129),#REF!, "")</f>
        <v/>
      </c>
      <c r="K129" s="47" t="str">
        <f>IF(AND(K$3 &gt;= $V129, K$3 &lt;= $W129),#REF!, "")</f>
        <v/>
      </c>
      <c r="L129" s="47" t="str">
        <f>IF(AND(L$3 &gt;= $V129, L$3 &lt;= $W129),#REF!, "")</f>
        <v/>
      </c>
      <c r="M129" s="47" t="str">
        <f>IF(AND(M$3 &gt;= $V129, M$3 &lt;= $W129),#REF!, "")</f>
        <v/>
      </c>
      <c r="N129" s="47" t="str">
        <f>IF(AND(N$3 &gt;= $V129, N$3 &lt;= $W129),#REF!, "")</f>
        <v/>
      </c>
      <c r="O129" s="47" t="str">
        <f>IF(AND(O$3 &gt;= $V129, O$3 &lt;= $W129),#REF!, "")</f>
        <v/>
      </c>
      <c r="P129" s="47" t="str">
        <f>IF(AND(P$3 &gt;= $V129, P$3 &lt;= $W129),#REF!, "")</f>
        <v/>
      </c>
      <c r="Q129" s="27">
        <f>IF(AND(Q$3 &gt;= $V129, Q$3 &lt;= $W129), $H129, "")</f>
        <v>1</v>
      </c>
      <c r="R129" s="27">
        <f t="shared" si="8"/>
        <v>1</v>
      </c>
      <c r="S129" s="27">
        <f t="shared" si="8"/>
        <v>1</v>
      </c>
      <c r="T129" s="27">
        <f t="shared" si="8"/>
        <v>1</v>
      </c>
      <c r="U129" s="45" t="b">
        <v>0</v>
      </c>
      <c r="V129" s="23">
        <v>46266</v>
      </c>
      <c r="W129" s="23">
        <v>46357</v>
      </c>
      <c r="X129" s="65" t="s">
        <v>38</v>
      </c>
      <c r="Z129" s="4" t="str">
        <f ca="1"/>
        <v>ON TRACK</v>
      </c>
    </row>
    <row r="130" spans="1:26" x14ac:dyDescent="0.3">
      <c r="A130" s="15">
        <v>127</v>
      </c>
      <c r="B130" s="52" t="s">
        <v>130</v>
      </c>
      <c r="C130" s="53">
        <v>1</v>
      </c>
      <c r="D130" s="53" t="s">
        <v>131</v>
      </c>
      <c r="E130" s="53" t="s">
        <v>13</v>
      </c>
      <c r="F130" s="4" t="s">
        <v>15</v>
      </c>
      <c r="U130" s="45" t="b">
        <v>0</v>
      </c>
      <c r="V130" s="23">
        <v>46023</v>
      </c>
      <c r="W130" s="23">
        <v>46054</v>
      </c>
      <c r="X130" s="53" t="s">
        <v>37</v>
      </c>
    </row>
    <row r="131" spans="1:26" x14ac:dyDescent="0.3">
      <c r="A131" s="15">
        <v>128</v>
      </c>
      <c r="B131" s="52" t="s">
        <v>130</v>
      </c>
      <c r="C131" s="53">
        <v>1</v>
      </c>
      <c r="D131" s="53" t="s">
        <v>131</v>
      </c>
      <c r="E131" s="53" t="s">
        <v>13</v>
      </c>
      <c r="F131" s="4" t="s">
        <v>16</v>
      </c>
      <c r="U131" s="45" t="b">
        <v>0</v>
      </c>
      <c r="V131" s="23">
        <v>46143</v>
      </c>
      <c r="W131" s="23">
        <v>46173</v>
      </c>
      <c r="X131" s="53" t="s">
        <v>38</v>
      </c>
    </row>
    <row r="132" spans="1:26" x14ac:dyDescent="0.3">
      <c r="A132" s="15">
        <v>129</v>
      </c>
      <c r="B132" s="52" t="s">
        <v>130</v>
      </c>
      <c r="C132" s="53">
        <v>1</v>
      </c>
      <c r="D132" s="53" t="s">
        <v>131</v>
      </c>
      <c r="E132" s="53" t="s">
        <v>21</v>
      </c>
      <c r="F132" s="4" t="s">
        <v>18</v>
      </c>
      <c r="U132" s="45" t="b">
        <v>0</v>
      </c>
      <c r="V132" s="23">
        <v>46235</v>
      </c>
      <c r="W132" s="23">
        <v>46235</v>
      </c>
      <c r="X132" s="53" t="s">
        <v>39</v>
      </c>
    </row>
    <row r="133" spans="1:26" x14ac:dyDescent="0.3">
      <c r="A133" s="15">
        <v>130</v>
      </c>
      <c r="B133" s="52" t="s">
        <v>130</v>
      </c>
      <c r="C133" s="53">
        <v>1</v>
      </c>
      <c r="D133" s="53" t="s">
        <v>131</v>
      </c>
      <c r="E133" s="53" t="s">
        <v>17</v>
      </c>
      <c r="F133" s="4" t="s">
        <v>19</v>
      </c>
      <c r="U133" s="45" t="b">
        <v>0</v>
      </c>
      <c r="V133" s="23">
        <v>46054</v>
      </c>
      <c r="W133" s="23">
        <v>46113</v>
      </c>
      <c r="X133" s="53" t="s">
        <v>38</v>
      </c>
    </row>
    <row r="134" spans="1:26" x14ac:dyDescent="0.3">
      <c r="A134" s="15">
        <v>131</v>
      </c>
      <c r="B134" s="52" t="s">
        <v>130</v>
      </c>
      <c r="C134" s="53">
        <v>1</v>
      </c>
      <c r="D134" s="53" t="s">
        <v>131</v>
      </c>
      <c r="E134" s="53" t="s">
        <v>20</v>
      </c>
      <c r="F134" s="4" t="s">
        <v>19</v>
      </c>
      <c r="U134" s="45" t="b">
        <v>0</v>
      </c>
      <c r="V134" s="23">
        <v>46235</v>
      </c>
      <c r="W134" s="23">
        <v>46327</v>
      </c>
      <c r="X134" s="53" t="s">
        <v>40</v>
      </c>
    </row>
    <row r="135" spans="1:26" x14ac:dyDescent="0.3">
      <c r="A135" s="15">
        <v>132</v>
      </c>
      <c r="B135" s="52" t="s">
        <v>130</v>
      </c>
      <c r="C135" s="53">
        <v>1</v>
      </c>
      <c r="D135" s="53" t="s">
        <v>131</v>
      </c>
      <c r="E135" s="53" t="s">
        <v>21</v>
      </c>
      <c r="F135" s="4" t="s">
        <v>19</v>
      </c>
      <c r="U135" s="45" t="b">
        <v>0</v>
      </c>
      <c r="V135" s="23">
        <v>46143</v>
      </c>
      <c r="W135" s="23">
        <v>46204</v>
      </c>
      <c r="X135" s="53" t="s">
        <v>39</v>
      </c>
    </row>
    <row r="136" spans="1:26" x14ac:dyDescent="0.3">
      <c r="A136" s="15">
        <v>133</v>
      </c>
      <c r="B136" s="52" t="s">
        <v>130</v>
      </c>
      <c r="C136" s="53">
        <v>1</v>
      </c>
      <c r="D136" s="53" t="s">
        <v>131</v>
      </c>
      <c r="E136" s="53" t="s">
        <v>22</v>
      </c>
      <c r="F136" s="4" t="s">
        <v>30</v>
      </c>
      <c r="U136" s="45" t="b">
        <v>0</v>
      </c>
      <c r="V136" s="23">
        <v>46143</v>
      </c>
      <c r="W136" s="23">
        <v>46368</v>
      </c>
      <c r="X136" s="53" t="s">
        <v>40</v>
      </c>
    </row>
    <row r="137" spans="1:26" x14ac:dyDescent="0.3">
      <c r="V137" s="23"/>
      <c r="W137" s="23"/>
    </row>
    <row r="144" spans="1:26" x14ac:dyDescent="0.3">
      <c r="M144" s="61"/>
    </row>
  </sheetData>
  <mergeCells count="26">
    <mergeCell ref="W2:W3"/>
    <mergeCell ref="A1:H1"/>
    <mergeCell ref="I1:N1"/>
    <mergeCell ref="O1:T1"/>
    <mergeCell ref="U1:Z1"/>
    <mergeCell ref="A2:A3"/>
    <mergeCell ref="B2:B3"/>
    <mergeCell ref="C2:C3"/>
    <mergeCell ref="E2:E3"/>
    <mergeCell ref="F2:H3"/>
    <mergeCell ref="I2:K2"/>
    <mergeCell ref="D2:D3"/>
    <mergeCell ref="L2:N2"/>
    <mergeCell ref="O2:Q2"/>
    <mergeCell ref="R2:T2"/>
    <mergeCell ref="U2:U3"/>
    <mergeCell ref="V2:V3"/>
    <mergeCell ref="AG2:AG3"/>
    <mergeCell ref="X2:X3"/>
    <mergeCell ref="Y2:Y3"/>
    <mergeCell ref="Z2:Z3"/>
    <mergeCell ref="AC2:AC3"/>
    <mergeCell ref="AE2:AE3"/>
    <mergeCell ref="AF2:AF3"/>
    <mergeCell ref="AB2:AB3"/>
    <mergeCell ref="AA2:AA3"/>
  </mergeCells>
  <phoneticPr fontId="8" type="noConversion"/>
  <conditionalFormatting sqref="E4:E129">
    <cfRule type="expression" dxfId="2" priority="17">
      <formula>$U4=TRUE</formula>
    </cfRule>
    <cfRule type="expression" dxfId="1" priority="18">
      <formula>$Z4="BEHIND"</formula>
    </cfRule>
    <cfRule type="expression" dxfId="0" priority="19">
      <formula>AND($V4&lt;&gt;"", $W4&lt;&gt;"", TODAY()&gt;=$V4, TODAY()&lt;=$W4)</formula>
    </cfRule>
  </conditionalFormatting>
  <conditionalFormatting sqref="E58">
    <cfRule type="expression" dxfId="24" priority="24">
      <formula>AND($V59&lt;&gt;"", $W59&lt;&gt;"", TODAY()&gt;=$V59, TODAY()&lt;=$W59)</formula>
    </cfRule>
  </conditionalFormatting>
  <conditionalFormatting sqref="E59">
    <cfRule type="expression" dxfId="23" priority="25">
      <formula>AND(#REF!&lt;&gt;"", #REF!&lt;&gt;"", TODAY()&gt;=#REF!, TODAY()&lt;=#REF!)</formula>
    </cfRule>
  </conditionalFormatting>
  <conditionalFormatting sqref="I4:T129">
    <cfRule type="expression" dxfId="22" priority="1">
      <formula>I4=16</formula>
    </cfRule>
    <cfRule type="expression" dxfId="21" priority="2">
      <formula>I4=15</formula>
    </cfRule>
    <cfRule type="expression" dxfId="20" priority="3">
      <formula>I4=13</formula>
    </cfRule>
    <cfRule type="expression" dxfId="19" priority="4">
      <formula>I4=14</formula>
    </cfRule>
    <cfRule type="expression" dxfId="18" priority="5">
      <formula>I4=12</formula>
    </cfRule>
    <cfRule type="expression" dxfId="17" priority="6">
      <formula>I4=11</formula>
    </cfRule>
    <cfRule type="expression" dxfId="16" priority="7">
      <formula>I4=10</formula>
    </cfRule>
    <cfRule type="expression" dxfId="15" priority="8">
      <formula>I4=9</formula>
    </cfRule>
    <cfRule type="expression" dxfId="14" priority="9">
      <formula>I4=8</formula>
    </cfRule>
    <cfRule type="expression" dxfId="13" priority="10">
      <formula>I4=7</formula>
    </cfRule>
    <cfRule type="expression" dxfId="12" priority="11">
      <formula>I4=6</formula>
    </cfRule>
    <cfRule type="expression" dxfId="11" priority="12">
      <formula>I4=5</formula>
    </cfRule>
    <cfRule type="expression" dxfId="10" priority="13">
      <formula>I4=4</formula>
    </cfRule>
    <cfRule type="expression" dxfId="9" priority="14">
      <formula>I4=3</formula>
    </cfRule>
    <cfRule type="expression" dxfId="8" priority="15">
      <formula>I4=1</formula>
    </cfRule>
    <cfRule type="expression" dxfId="7" priority="16">
      <formula>I4=2</formula>
    </cfRule>
  </conditionalFormatting>
  <conditionalFormatting sqref="Z1:AC2 Z3 AC3 Z4:AC20 Z21:AB21 Z22:AC1048576">
    <cfRule type="containsText" dxfId="6" priority="20" operator="containsText" text="NOT STARTED">
      <formula>NOT(ISERROR(SEARCH("NOT STARTED",Z1)))</formula>
    </cfRule>
    <cfRule type="containsText" dxfId="5" priority="21" operator="containsText" text="BEHIND">
      <formula>NOT(ISERROR(SEARCH("BEHIND",Z1)))</formula>
    </cfRule>
    <cfRule type="containsText" dxfId="4" priority="22" operator="containsText" text="ON TRACK">
      <formula>NOT(ISERROR(SEARCH("ON TRACK",Z1)))</formula>
    </cfRule>
    <cfRule type="containsText" dxfId="3" priority="23" operator="containsText" text="AHEAD">
      <formula>NOT(ISERROR(SEARCH("AHEAD",Z1)))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37492e-f410-427b-ab39-055bdc18ce02}" enabled="0" method="" siteId="{ca37492e-f410-427b-ab39-055bdc18ce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Riki (THI)</dc:creator>
  <cp:keywords/>
  <dc:description/>
  <cp:lastModifiedBy>Riki (THI)</cp:lastModifiedBy>
  <cp:revision/>
  <dcterms:created xsi:type="dcterms:W3CDTF">2015-06-05T18:17:20Z</dcterms:created>
  <dcterms:modified xsi:type="dcterms:W3CDTF">2026-09-03T04:00:00Z</dcterms:modified>
  <cp:category/>
  <cp:contentStatus/>
</cp:coreProperties>
</file>